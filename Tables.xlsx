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enulisan Bab 4\"/>
    </mc:Choice>
  </mc:AlternateContent>
  <xr:revisionPtr revIDLastSave="0" documentId="13_ncr:1_{AD3B2FE3-71B8-46D2-9487-46AFF61B609D}" xr6:coauthVersionLast="47" xr6:coauthVersionMax="47" xr10:uidLastSave="{00000000-0000-0000-0000-000000000000}"/>
  <bookViews>
    <workbookView xWindow="-90" yWindow="0" windowWidth="9780" windowHeight="10170" firstSheet="6" activeTab="7" xr2:uid="{A46E9BF6-C7BF-4296-90C7-1CE3E9DC57B5}"/>
  </bookViews>
  <sheets>
    <sheet name="Tabel 4.1 - 4.4" sheetId="12" r:id="rId1"/>
    <sheet name="Tabel 4.5 - 4.8" sheetId="13" r:id="rId2"/>
    <sheet name="Tabel 4.9 - 4.13" sheetId="14" r:id="rId3"/>
    <sheet name="Tabel 4.14 - 4.16" sheetId="5" r:id="rId4"/>
    <sheet name="Tabel 4.17" sheetId="16" r:id="rId5"/>
    <sheet name="Tabel 4.18" sheetId="9" r:id="rId6"/>
    <sheet name="Tabel 4.19" sheetId="10" r:id="rId7"/>
    <sheet name="Tabel 4.20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4" l="1"/>
  <c r="J32" i="14"/>
  <c r="M30" i="14"/>
  <c r="L30" i="14"/>
  <c r="K30" i="14"/>
  <c r="J30" i="14"/>
  <c r="E36" i="14"/>
  <c r="E37" i="14"/>
  <c r="E38" i="14"/>
  <c r="E39" i="14"/>
  <c r="C40" i="14"/>
  <c r="D40" i="14"/>
  <c r="E40" i="14" s="1"/>
  <c r="E36" i="13"/>
  <c r="E37" i="13"/>
  <c r="E38" i="13"/>
  <c r="C39" i="13"/>
  <c r="D39" i="13"/>
  <c r="E39" i="13"/>
  <c r="E36" i="12"/>
  <c r="E37" i="12"/>
  <c r="E38" i="12"/>
  <c r="C39" i="12"/>
  <c r="D39" i="12"/>
  <c r="E39" i="12" s="1"/>
  <c r="K29" i="14"/>
  <c r="J29" i="14"/>
  <c r="K28" i="14"/>
  <c r="J28" i="14"/>
  <c r="K27" i="14"/>
  <c r="J27" i="14"/>
  <c r="K21" i="14"/>
  <c r="J21" i="14"/>
  <c r="K20" i="14"/>
  <c r="J20" i="14"/>
  <c r="K19" i="14"/>
  <c r="J19" i="14"/>
  <c r="J22" i="14" s="1"/>
  <c r="K13" i="14"/>
  <c r="J13" i="14"/>
  <c r="K12" i="14"/>
  <c r="J12" i="14"/>
  <c r="K11" i="14"/>
  <c r="J11" i="14"/>
  <c r="J14" i="14" s="1"/>
  <c r="J15" i="14" s="1"/>
  <c r="L14" i="14" s="1"/>
  <c r="K5" i="14"/>
  <c r="J5" i="14"/>
  <c r="K4" i="14"/>
  <c r="J4" i="14"/>
  <c r="K3" i="14"/>
  <c r="J3" i="14"/>
  <c r="K30" i="13"/>
  <c r="J30" i="13"/>
  <c r="L30" i="13" s="1"/>
  <c r="M30" i="13" s="1"/>
  <c r="K29" i="13"/>
  <c r="J29" i="13"/>
  <c r="K28" i="13"/>
  <c r="J28" i="13"/>
  <c r="K27" i="13"/>
  <c r="J27" i="13"/>
  <c r="K26" i="13"/>
  <c r="J26" i="13"/>
  <c r="L26" i="13" s="1"/>
  <c r="M26" i="13" s="1"/>
  <c r="K25" i="13"/>
  <c r="J25" i="13"/>
  <c r="J31" i="13" s="1"/>
  <c r="J32" i="13" s="1"/>
  <c r="K19" i="13"/>
  <c r="J19" i="13"/>
  <c r="L19" i="13" s="1"/>
  <c r="M19" i="13" s="1"/>
  <c r="K18" i="13"/>
  <c r="J18" i="13"/>
  <c r="K17" i="13"/>
  <c r="J17" i="13"/>
  <c r="L17" i="13" s="1"/>
  <c r="M17" i="13" s="1"/>
  <c r="K16" i="13"/>
  <c r="J16" i="13"/>
  <c r="K15" i="13"/>
  <c r="J15" i="13"/>
  <c r="L15" i="13" s="1"/>
  <c r="M15" i="13" s="1"/>
  <c r="K14" i="13"/>
  <c r="J14" i="13"/>
  <c r="J20" i="13" s="1"/>
  <c r="J21" i="13" s="1"/>
  <c r="L20" i="13" s="1"/>
  <c r="K8" i="13"/>
  <c r="J8" i="13"/>
  <c r="L8" i="13" s="1"/>
  <c r="M8" i="13" s="1"/>
  <c r="K7" i="13"/>
  <c r="J7" i="13"/>
  <c r="K6" i="13"/>
  <c r="J6" i="13"/>
  <c r="L6" i="13" s="1"/>
  <c r="M6" i="13" s="1"/>
  <c r="K5" i="13"/>
  <c r="J5" i="13"/>
  <c r="K4" i="13"/>
  <c r="J4" i="13"/>
  <c r="L4" i="13" s="1"/>
  <c r="M4" i="13" s="1"/>
  <c r="K3" i="13"/>
  <c r="J3" i="13"/>
  <c r="J9" i="13" s="1"/>
  <c r="J10" i="13" s="1"/>
  <c r="L9" i="13" s="1"/>
  <c r="J4" i="12"/>
  <c r="J5" i="12"/>
  <c r="J6" i="12"/>
  <c r="J7" i="12"/>
  <c r="J8" i="12"/>
  <c r="J14" i="12"/>
  <c r="J20" i="12" s="1"/>
  <c r="J21" i="12" s="1"/>
  <c r="L20" i="12" s="1"/>
  <c r="J15" i="12"/>
  <c r="J16" i="12"/>
  <c r="J17" i="12"/>
  <c r="J18" i="12"/>
  <c r="J19" i="12"/>
  <c r="J25" i="12"/>
  <c r="J31" i="12" s="1"/>
  <c r="J32" i="12" s="1"/>
  <c r="J26" i="12"/>
  <c r="J27" i="12"/>
  <c r="J28" i="12"/>
  <c r="J29" i="12"/>
  <c r="J30" i="12"/>
  <c r="J3" i="12"/>
  <c r="J9" i="12" s="1"/>
  <c r="J10" i="12" s="1"/>
  <c r="K4" i="12"/>
  <c r="K5" i="12"/>
  <c r="K6" i="12"/>
  <c r="K7" i="12"/>
  <c r="K8" i="12"/>
  <c r="K14" i="12"/>
  <c r="K15" i="12"/>
  <c r="K16" i="12"/>
  <c r="K17" i="12"/>
  <c r="K18" i="12"/>
  <c r="K19" i="12"/>
  <c r="K25" i="12"/>
  <c r="K26" i="12"/>
  <c r="K27" i="12"/>
  <c r="K28" i="12"/>
  <c r="L28" i="12" s="1"/>
  <c r="M28" i="12" s="1"/>
  <c r="K29" i="12"/>
  <c r="K30" i="12"/>
  <c r="K3" i="12"/>
  <c r="L31" i="14" l="1"/>
  <c r="J23" i="14"/>
  <c r="L22" i="14" s="1"/>
  <c r="J6" i="14"/>
  <c r="J7" i="14" s="1"/>
  <c r="L6" i="14"/>
  <c r="L3" i="14"/>
  <c r="M3" i="14" s="1"/>
  <c r="L12" i="14"/>
  <c r="M12" i="14" s="1"/>
  <c r="L21" i="14"/>
  <c r="M21" i="14" s="1"/>
  <c r="L28" i="14"/>
  <c r="M28" i="14" s="1"/>
  <c r="L3" i="13"/>
  <c r="M3" i="13" s="1"/>
  <c r="L7" i="13"/>
  <c r="M7" i="13" s="1"/>
  <c r="L16" i="13"/>
  <c r="M16" i="13" s="1"/>
  <c r="L25" i="13"/>
  <c r="M25" i="13" s="1"/>
  <c r="L29" i="13"/>
  <c r="M29" i="13" s="1"/>
  <c r="L5" i="13"/>
  <c r="M5" i="13" s="1"/>
  <c r="L14" i="13"/>
  <c r="M14" i="13" s="1"/>
  <c r="L18" i="13"/>
  <c r="M18" i="13" s="1"/>
  <c r="L27" i="13"/>
  <c r="M27" i="13" s="1"/>
  <c r="L28" i="13"/>
  <c r="M28" i="13" s="1"/>
  <c r="L9" i="12"/>
  <c r="L25" i="12"/>
  <c r="M25" i="12" s="1"/>
  <c r="L7" i="12"/>
  <c r="M7" i="12" s="1"/>
  <c r="L15" i="12"/>
  <c r="M15" i="12" s="1"/>
  <c r="L31" i="12"/>
  <c r="L26" i="12"/>
  <c r="M26" i="12" s="1"/>
  <c r="L8" i="12"/>
  <c r="M8" i="12" s="1"/>
  <c r="L19" i="12"/>
  <c r="M19" i="12" s="1"/>
  <c r="L6" i="12"/>
  <c r="M6" i="12" s="1"/>
  <c r="L18" i="12"/>
  <c r="M18" i="12" s="1"/>
  <c r="L5" i="12"/>
  <c r="M5" i="12" s="1"/>
  <c r="L30" i="12"/>
  <c r="M30" i="12" s="1"/>
  <c r="L17" i="12"/>
  <c r="M17" i="12" s="1"/>
  <c r="L4" i="12"/>
  <c r="M4" i="12" s="1"/>
  <c r="L29" i="12"/>
  <c r="M29" i="12" s="1"/>
  <c r="L16" i="12"/>
  <c r="M16" i="12" s="1"/>
  <c r="L27" i="12"/>
  <c r="M27" i="12" s="1"/>
  <c r="L14" i="12"/>
  <c r="M14" i="12" s="1"/>
  <c r="L3" i="12"/>
  <c r="M3" i="12" s="1"/>
  <c r="L4" i="14"/>
  <c r="M4" i="14" s="1"/>
  <c r="L13" i="14"/>
  <c r="M13" i="14" s="1"/>
  <c r="L27" i="14"/>
  <c r="M27" i="14" s="1"/>
  <c r="L11" i="14"/>
  <c r="M11" i="14" s="1"/>
  <c r="L20" i="14"/>
  <c r="M20" i="14" s="1"/>
  <c r="L29" i="14"/>
  <c r="M29" i="14" s="1"/>
  <c r="L5" i="14"/>
  <c r="M5" i="14" s="1"/>
  <c r="L19" i="14"/>
  <c r="M19" i="14" s="1"/>
  <c r="L31" i="13"/>
</calcChain>
</file>

<file path=xl/sharedStrings.xml><?xml version="1.0" encoding="utf-8"?>
<sst xmlns="http://schemas.openxmlformats.org/spreadsheetml/2006/main" count="469" uniqueCount="175">
  <si>
    <t>Kategori</t>
  </si>
  <si>
    <t>Total</t>
  </si>
  <si>
    <t>Indikator</t>
  </si>
  <si>
    <t>STS (1)</t>
  </si>
  <si>
    <t>TS (2)</t>
  </si>
  <si>
    <t>S (4)</t>
  </si>
  <si>
    <t>SS (5)</t>
  </si>
  <si>
    <t>CS (3)</t>
  </si>
  <si>
    <t>Loading factor</t>
  </si>
  <si>
    <t>Variabel</t>
  </si>
  <si>
    <t>Cronbach’s Alpha</t>
  </si>
  <si>
    <t>Keterangan</t>
  </si>
  <si>
    <t>Pengaruh</t>
  </si>
  <si>
    <t>H1</t>
  </si>
  <si>
    <t>Direct Effect</t>
  </si>
  <si>
    <t>Diterima</t>
  </si>
  <si>
    <t>H2</t>
  </si>
  <si>
    <t>Employee Engagement (X2)</t>
  </si>
  <si>
    <t>Kesiapan Digital Karyawan (Y)</t>
  </si>
  <si>
    <t>Komitment Organisasi (X1)</t>
  </si>
  <si>
    <t>R Square</t>
  </si>
  <si>
    <t>R Square Adjusted</t>
  </si>
  <si>
    <t>Original Sample (O)</t>
  </si>
  <si>
    <t>P Values</t>
  </si>
  <si>
    <t>Employee Engagement (X2) -&gt; Kesiapan Digital Karyawan (Y)</t>
  </si>
  <si>
    <t>Komitment Organisasi (X1) -&gt; Kesiapan Digital Karyawan (Y)</t>
  </si>
  <si>
    <t>T Stasistics</t>
  </si>
  <si>
    <t>Dimensi</t>
  </si>
  <si>
    <t>Komitmen Afektif</t>
  </si>
  <si>
    <t>Komitmen Berkelanjutan</t>
  </si>
  <si>
    <t>Komitmen Normatif</t>
  </si>
  <si>
    <t>Vigor</t>
  </si>
  <si>
    <t>Dedication</t>
  </si>
  <si>
    <t>Absorption</t>
  </si>
  <si>
    <t>Strategy Digital</t>
  </si>
  <si>
    <t>Digital Service</t>
  </si>
  <si>
    <t>Resources and Dynamic Capabilities</t>
  </si>
  <si>
    <t>Performances</t>
  </si>
  <si>
    <t>Item</t>
  </si>
  <si>
    <t>Pernyataan</t>
  </si>
  <si>
    <t>Jawaban Responden</t>
  </si>
  <si>
    <t>Total Skor</t>
  </si>
  <si>
    <t>Skor Ideal</t>
  </si>
  <si>
    <t>%</t>
  </si>
  <si>
    <t>Keterikatan emosional dengan perusahaan</t>
  </si>
  <si>
    <t>Memberikan dedikasi terbaik kepada perusahaan</t>
  </si>
  <si>
    <t>Keinginan bertahan dalam perusahaan</t>
  </si>
  <si>
    <t>Karyawan merasa rugi apabila meninggalkan perusahaan</t>
  </si>
  <si>
    <t>Karyawan merasa tidak memiliki alternatif kerja di tempat lain yang lebih menarik</t>
  </si>
  <si>
    <t>Karyawan akan mendapatkan kesulitan dalam hidup jika meninggalkan perusahaan</t>
  </si>
  <si>
    <t>Karyawan merasa memiliki kontrak psikologis kepada perusahaan</t>
  </si>
  <si>
    <t>Perusahaan memberikan banyak bantuan kepada karyawan</t>
  </si>
  <si>
    <t>Perusahaan pantas mendapatkan loyalitas dari karyawan</t>
  </si>
  <si>
    <t>Saya merasa bangga menjadi bagian dari perusahaan ini</t>
  </si>
  <si>
    <t>Saya memiliki hubungan emosional yang kuat dengan perusahaan ini</t>
  </si>
  <si>
    <t>Saya selalu berusaha memberikan yang terbaik dalam pekerjaan saya di perusahaan ini</t>
  </si>
  <si>
    <t>Saya ingin tetap bekerja di perusahaan ini untuk waktu yang lama.</t>
  </si>
  <si>
    <t>Saya merasa tidak ada keinginan untuk meninggalkan perusahaan ini.</t>
  </si>
  <si>
    <t>Saya merasa akan kehilangan banyak hal jika meninggalkan perusahaan ini.</t>
  </si>
  <si>
    <t>Meninggalkan perusahaan ini akan menjadi keputusan yang merugikan bagi saya</t>
  </si>
  <si>
    <t>Saya merasa sulit menemukan pekerjaan lain yang lebih baik daripada yang saya miliki sekarang</t>
  </si>
  <si>
    <t>Saya tidak melihat banyak pilihan karier yang lebih menarik di luar perusahaan ini</t>
  </si>
  <si>
    <t>Saya merasa akan sulit menyesuaikan diri jika bekerja di perusahaan lain</t>
  </si>
  <si>
    <t>Saya percaya adaptasi di tempat kerja baru akan menjadi tantangan besar bagi saya</t>
  </si>
  <si>
    <t>Saya merasa memiliki kewajiban moral untuk tetap bekerja di perusahaan ini.</t>
  </si>
  <si>
    <t>Saya merasa perusahaan ini layak mendapatkan komitmen saya</t>
  </si>
  <si>
    <t>Perusahaan selalu memberikan dukungan yang saya butuhkan untuk menjalankan pekerjaan saya</t>
  </si>
  <si>
    <t>Perusahaan ini peduli terhadap kesejahteraan karyawannya</t>
  </si>
  <si>
    <t>Saya merasa perusahaan ini layak mendapatkan loyalitas saya</t>
  </si>
  <si>
    <t>Perusahaan ini memiliki kebijakan yang membuat saya ingin setia bekerja di sini</t>
  </si>
  <si>
    <t>Jumlah Skor Total</t>
  </si>
  <si>
    <t>Persentase Skor</t>
  </si>
  <si>
    <t>Saya merasa bersemangat saat menjalani pekerjaan saya setiap hari</t>
  </si>
  <si>
    <t>Saya selalu memiliki energi yang cukup untuk menyelesaikan tugas-tugas pekerjaan</t>
  </si>
  <si>
    <t>Saya selalu berusaha sebaik mungkin dalam menyelesaikan pekerjaan</t>
  </si>
  <si>
    <t>Saya tidak mudah menyerah meskipun menghadapi tantangan di pekerjaan</t>
  </si>
  <si>
    <t>Saya memiliki tekad untuk tetap menjalani pekerjaan saya meskipun sulit</t>
  </si>
  <si>
    <t>Saya merasa termotivasi untuk terus bekerja di perusahaan ini</t>
  </si>
  <si>
    <t>Saya merasa memiliki tanggung jawab penuh atas pekerjaan yang saya lakukan</t>
  </si>
  <si>
    <t>Saya berkomitmen untuk menyelesaikan tugas saya dengan baik</t>
  </si>
  <si>
    <t>Saya merasa bangga dengan pekerjaan yang telah saya capai</t>
  </si>
  <si>
    <t>Saya sering merasa puas dengan hasil pekerjaan saya</t>
  </si>
  <si>
    <t>Saya merasa pekerjaan saya memberikan manfaat bagi orang lain</t>
  </si>
  <si>
    <t>Saya senang melihat dampak positif dari pekerjaan saya terhadap orang lain</t>
  </si>
  <si>
    <t>Saya sering tidak menyadari waktu berlalu saat bekerja</t>
  </si>
  <si>
    <t>Waktu terasa cepat berlalu ketika saya fokus pada pekerjaan</t>
  </si>
  <si>
    <t>Saya mampu berkonsentrasi penuh saat bekerja</t>
  </si>
  <si>
    <t>Saya jarang teralihkan saat menjalankan tugas pekerjaan</t>
  </si>
  <si>
    <t>Saya merasa sulit untuk berhenti memikirkan pekerjaan meskipun di luar jam kerja</t>
  </si>
  <si>
    <t>Saya sering memikirkan pekerjaan bahkan ketika sedang beristirahat</t>
  </si>
  <si>
    <t>Saya bekerja sudah berdasarkan aplikasi atau teknologi yang organisasi saya sediakan</t>
  </si>
  <si>
    <t>Organisasi saya memiliki rencana yang jelas untuk menerapkan strategi transformasi digital</t>
  </si>
  <si>
    <t>Organisasi saya secara aktif mencari dan menerapkan praktik terbaik dalam transformasi digital.</t>
  </si>
  <si>
    <t>Jasa perusahaan saya bekerja dapat dipesan secara digital</t>
  </si>
  <si>
    <t>Pelayanan perusahaan saya bekerja dapat dilakukan secara digital dalam lima tahun kedepan.</t>
  </si>
  <si>
    <t>Pelayanan di perusahaan saya bekerja akan terancam oleh organisasi/perusahaan lainyang memiliki hubungan dengan konsumen saya, yang menawarkan layanan kompetitif dan menghilangkan kebutuhan konsumen yang perusahaan saya berikan.</t>
  </si>
  <si>
    <t>Saya bekerja dengan menggunakan teknologi digital (website, seluler, data base, atau sistem pembukuan automatis).</t>
  </si>
  <si>
    <t>Organisasi saya secara aktif melatih karyawan untuk mengembangkan keterampilan digital yang diperlukan dalam transformasi digital</t>
  </si>
  <si>
    <t>Organisasi saya memiliki program yang jelas untuk mengelola perubahan yang diakibatkan oleh transformasi digital pada karyawan</t>
  </si>
  <si>
    <t>Kinerja saya dalam hal pengurangan waktu untuk memecahkan masalah telah meningkat dalam dua tahun terakhir</t>
  </si>
  <si>
    <t>Kinerja Saya dalam hal Pengurangan bahan dan persediaan (mis., Bolpoin/pulpen, Tipp-ex, ) telah meningkat dalam dua tahun terakhir</t>
  </si>
  <si>
    <t>Kinerja saya dalam penggunaan Sistem (mis., excel, aplikasi pembukuan) telah meningkat dalam dua tahun terakhir</t>
  </si>
  <si>
    <t>Semangat dalam bekerja</t>
  </si>
  <si>
    <t>Keinginan untuk berusaha sekuat tenaga</t>
  </si>
  <si>
    <t>Bertahan pada pekerjaan</t>
  </si>
  <si>
    <t>Bertanggung jawab terhadap pekerjaan</t>
  </si>
  <si>
    <t>Bangga atas
pekerjaan yang dilakukan</t>
  </si>
  <si>
    <t>Bermanfaat bagi orang lain</t>
  </si>
  <si>
    <t>Waktu</t>
  </si>
  <si>
    <t>Konsentrasi</t>
  </si>
  <si>
    <t>Sulit melepas diri dari pekerjaan</t>
  </si>
  <si>
    <t>Strategi dalam penerapan
Transformasi digital</t>
  </si>
  <si>
    <t>Peran penerapan
Transformasi Digital</t>
  </si>
  <si>
    <t>Peran sumber daya
manusia dan kemampuan
dalam penerapan
transformasi digital,
adaptasi keseluruhan
Institusi dalam penerapan
Transformasi Digital</t>
  </si>
  <si>
    <t>Pengukuran kinerja Institusi terhadap
penerapan transformasi
digital</t>
  </si>
  <si>
    <t>No</t>
  </si>
  <si>
    <t>Score</t>
  </si>
  <si>
    <t>Persentase</t>
  </si>
  <si>
    <t>Komitmen berkelanjutan</t>
  </si>
  <si>
    <t>Kode</t>
  </si>
  <si>
    <t>Pertanyaan</t>
  </si>
  <si>
    <t>Outer loading</t>
  </si>
  <si>
    <t>KO_KA_1</t>
  </si>
  <si>
    <t>KO_KA_2</t>
  </si>
  <si>
    <t>KO_KA_3</t>
  </si>
  <si>
    <t>KO_KA_4</t>
  </si>
  <si>
    <t>KO_KA_5</t>
  </si>
  <si>
    <t>KO_KA_6</t>
  </si>
  <si>
    <t>KO_KB_1</t>
  </si>
  <si>
    <t>KO_KB_2</t>
  </si>
  <si>
    <t>KO_KB_3</t>
  </si>
  <si>
    <t>KO_KB_4</t>
  </si>
  <si>
    <t>KO_KB_5</t>
  </si>
  <si>
    <t>KO_KB_6</t>
  </si>
  <si>
    <t>KO_KN_1</t>
  </si>
  <si>
    <t>KO_KN_2</t>
  </si>
  <si>
    <t>KO_KN_3</t>
  </si>
  <si>
    <t>KO_KN_4</t>
  </si>
  <si>
    <t>KO_KN_5</t>
  </si>
  <si>
    <t>KO_KN_6</t>
  </si>
  <si>
    <t>KDK_SD_1</t>
  </si>
  <si>
    <t>KDK_SD_2</t>
  </si>
  <si>
    <t>KDK_SD_3</t>
  </si>
  <si>
    <t>KDK_DS_1</t>
  </si>
  <si>
    <t>KDK_DS_2</t>
  </si>
  <si>
    <t>KDK_DS_3</t>
  </si>
  <si>
    <t>KDK_RDC_1</t>
  </si>
  <si>
    <t>KDK_RDC_2</t>
  </si>
  <si>
    <t>KDK_RDC_3</t>
  </si>
  <si>
    <t>KDK_P_1</t>
  </si>
  <si>
    <t>KDK_P_2</t>
  </si>
  <si>
    <t>KDK_P_3</t>
  </si>
  <si>
    <t>EE_V_1</t>
  </si>
  <si>
    <t>EE_V_2</t>
  </si>
  <si>
    <t>EE_V_3</t>
  </si>
  <si>
    <t>EE_V_4</t>
  </si>
  <si>
    <t>EE_V_5</t>
  </si>
  <si>
    <t>EE_V_6</t>
  </si>
  <si>
    <t>EE_D_1</t>
  </si>
  <si>
    <t>EE_D_2</t>
  </si>
  <si>
    <t>EE_D_3</t>
  </si>
  <si>
    <t>EE_D_4</t>
  </si>
  <si>
    <t>EE_D_5</t>
  </si>
  <si>
    <t>EE_D_6</t>
  </si>
  <si>
    <t>EE_A_1</t>
  </si>
  <si>
    <t>EE_A_2</t>
  </si>
  <si>
    <t>EE_A_3</t>
  </si>
  <si>
    <t>EE_A_4</t>
  </si>
  <si>
    <t>EE_A_5</t>
  </si>
  <si>
    <t>EE_A_6</t>
  </si>
  <si>
    <t>Kinerja saya dalam penggunaan sistem digital telah meningkat dalam dua tahun terakhir</t>
  </si>
  <si>
    <t>KDK_P_4</t>
  </si>
  <si>
    <r>
      <t>Employee Engagement</t>
    </r>
    <r>
      <rPr>
        <sz val="12"/>
        <color rgb="FF000000"/>
        <rFont val="Times New Roman"/>
        <family val="1"/>
      </rPr>
      <t xml:space="preserve"> (X2)</t>
    </r>
  </si>
  <si>
    <t>Komitmen Organisasi (X1)</t>
  </si>
  <si>
    <t>Composite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</si>
</sst>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8"/>
      <name val="Calibri"/>
      <family val="2"/>
      <scheme val="minor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7615-B8E1-4FB8-AE32-82A38187A5AE}">
  <dimension ref="A1:M39"/>
  <sheetViews>
    <sheetView zoomScale="51" zoomScaleNormal="115" workbookViewId="0">
      <selection activeCell="D4" sqref="D4"/>
    </sheetView>
  </sheetViews>
  <sheetFormatPr defaultRowHeight="14.5" x14ac:dyDescent="0.35"/>
  <cols>
    <col min="1" max="1" width="13.1796875" bestFit="1" customWidth="1"/>
    <col min="2" max="2" width="22.7265625" bestFit="1" customWidth="1"/>
    <col min="3" max="3" width="16.90625" bestFit="1" customWidth="1"/>
    <col min="4" max="4" width="17.36328125" bestFit="1" customWidth="1"/>
    <col min="5" max="5" width="11.453125" bestFit="1" customWidth="1"/>
    <col min="6" max="6" width="7.1796875" bestFit="1" customWidth="1"/>
    <col min="7" max="7" width="7.36328125" bestFit="1" customWidth="1"/>
    <col min="8" max="8" width="5.7265625" bestFit="1" customWidth="1"/>
    <col min="9" max="9" width="7.1796875" bestFit="1" customWidth="1"/>
    <col min="10" max="10" width="6.81640625" customWidth="1"/>
    <col min="11" max="11" width="5.7265625" customWidth="1"/>
    <col min="12" max="12" width="7.90625" customWidth="1"/>
    <col min="13" max="13" width="8.6328125" customWidth="1"/>
  </cols>
  <sheetData>
    <row r="1" spans="1:13" ht="15.5" x14ac:dyDescent="0.35">
      <c r="A1" s="12" t="s">
        <v>27</v>
      </c>
      <c r="B1" s="12" t="s">
        <v>38</v>
      </c>
      <c r="C1" s="12" t="s">
        <v>2</v>
      </c>
      <c r="D1" s="12" t="s">
        <v>39</v>
      </c>
      <c r="E1" s="12" t="s">
        <v>40</v>
      </c>
      <c r="F1" s="12"/>
      <c r="G1" s="12"/>
      <c r="H1" s="12"/>
      <c r="I1" s="12"/>
      <c r="J1" s="16" t="s">
        <v>41</v>
      </c>
      <c r="K1" s="16" t="s">
        <v>42</v>
      </c>
      <c r="L1" s="12" t="s">
        <v>43</v>
      </c>
      <c r="M1" s="12" t="s">
        <v>0</v>
      </c>
    </row>
    <row r="2" spans="1:13" ht="15" x14ac:dyDescent="0.35">
      <c r="A2" s="12"/>
      <c r="B2" s="12"/>
      <c r="C2" s="12"/>
      <c r="D2" s="12"/>
      <c r="E2" s="13" t="s">
        <v>3</v>
      </c>
      <c r="F2" s="13" t="s">
        <v>4</v>
      </c>
      <c r="G2" s="13" t="s">
        <v>7</v>
      </c>
      <c r="H2" s="13" t="s">
        <v>5</v>
      </c>
      <c r="I2" s="13" t="s">
        <v>6</v>
      </c>
      <c r="J2" s="16"/>
      <c r="K2" s="16"/>
      <c r="L2" s="12"/>
      <c r="M2" s="12"/>
    </row>
    <row r="3" spans="1:13" ht="62" x14ac:dyDescent="0.35">
      <c r="A3" s="14" t="s">
        <v>28</v>
      </c>
      <c r="B3" s="6">
        <v>1</v>
      </c>
      <c r="C3" s="16" t="s">
        <v>44</v>
      </c>
      <c r="D3" s="17" t="s">
        <v>53</v>
      </c>
      <c r="E3" s="17">
        <v>0</v>
      </c>
      <c r="F3" s="17">
        <v>0</v>
      </c>
      <c r="G3" s="17">
        <v>8</v>
      </c>
      <c r="H3" s="17">
        <v>50</v>
      </c>
      <c r="I3" s="17">
        <v>96</v>
      </c>
      <c r="J3" s="6">
        <f>SUM(E3*1,F3*2,G3*3,H3*4,I3*5)</f>
        <v>704</v>
      </c>
      <c r="K3" s="6">
        <f>5*154</f>
        <v>770</v>
      </c>
      <c r="L3" s="19">
        <f>J3/K3</f>
        <v>0.91428571428571426</v>
      </c>
      <c r="M3" s="2" t="str">
        <f>IF(L3&gt;0.8,"Sangat Kuat",IF(L3&gt;0.7,"Kuat",IF(L3&gt;0.6,"Cukup Kuat",0)))</f>
        <v>Sangat Kuat</v>
      </c>
    </row>
    <row r="4" spans="1:13" ht="77.5" x14ac:dyDescent="0.35">
      <c r="A4" s="14"/>
      <c r="B4" s="6">
        <v>2</v>
      </c>
      <c r="C4" s="16"/>
      <c r="D4" s="17" t="s">
        <v>54</v>
      </c>
      <c r="E4" s="17">
        <v>0</v>
      </c>
      <c r="F4" s="17">
        <v>1</v>
      </c>
      <c r="G4" s="17">
        <v>14</v>
      </c>
      <c r="H4" s="17">
        <v>72</v>
      </c>
      <c r="I4" s="17">
        <v>67</v>
      </c>
      <c r="J4" s="6">
        <f t="shared" ref="J4:J30" si="0">SUM(E4*1,F4*2,G4*3,H4*4,I4*5)</f>
        <v>667</v>
      </c>
      <c r="K4" s="6">
        <f t="shared" ref="K4:K30" si="1">5*154</f>
        <v>770</v>
      </c>
      <c r="L4" s="19">
        <f t="shared" ref="L4:L30" si="2">J4/K4</f>
        <v>0.86623376623376624</v>
      </c>
      <c r="M4" s="2" t="str">
        <f t="shared" ref="M4:M29" si="3">IF(L4&gt;0.8,"Sangat Kuat",IF(L4&gt;0.7,"Kuat",IF(L4&gt;0.6,"Cukup Kuat",0)))</f>
        <v>Sangat Kuat</v>
      </c>
    </row>
    <row r="5" spans="1:13" ht="93" x14ac:dyDescent="0.35">
      <c r="A5" s="14"/>
      <c r="B5" s="6">
        <v>3</v>
      </c>
      <c r="C5" s="16" t="s">
        <v>45</v>
      </c>
      <c r="D5" s="17" t="s">
        <v>55</v>
      </c>
      <c r="E5" s="17">
        <v>0</v>
      </c>
      <c r="F5" s="17">
        <v>0</v>
      </c>
      <c r="G5" s="17">
        <v>6</v>
      </c>
      <c r="H5" s="17">
        <v>57</v>
      </c>
      <c r="I5" s="17">
        <v>91</v>
      </c>
      <c r="J5" s="6">
        <f t="shared" si="0"/>
        <v>701</v>
      </c>
      <c r="K5" s="6">
        <f t="shared" si="1"/>
        <v>770</v>
      </c>
      <c r="L5" s="19">
        <f t="shared" si="2"/>
        <v>0.91038961038961042</v>
      </c>
      <c r="M5" s="2" t="str">
        <f t="shared" si="3"/>
        <v>Sangat Kuat</v>
      </c>
    </row>
    <row r="6" spans="1:13" ht="93" x14ac:dyDescent="0.35">
      <c r="A6" s="14"/>
      <c r="B6" s="6">
        <v>4</v>
      </c>
      <c r="C6" s="16"/>
      <c r="D6" s="17" t="s">
        <v>55</v>
      </c>
      <c r="E6" s="17">
        <v>0</v>
      </c>
      <c r="F6" s="17">
        <v>0</v>
      </c>
      <c r="G6" s="17">
        <v>5</v>
      </c>
      <c r="H6" s="17">
        <v>51</v>
      </c>
      <c r="I6" s="17">
        <v>98</v>
      </c>
      <c r="J6" s="6">
        <f t="shared" si="0"/>
        <v>709</v>
      </c>
      <c r="K6" s="6">
        <f t="shared" si="1"/>
        <v>770</v>
      </c>
      <c r="L6" s="19">
        <f t="shared" si="2"/>
        <v>0.92077922077922081</v>
      </c>
      <c r="M6" s="2" t="str">
        <f t="shared" si="3"/>
        <v>Sangat Kuat</v>
      </c>
    </row>
    <row r="7" spans="1:13" ht="77.5" x14ac:dyDescent="0.35">
      <c r="A7" s="14"/>
      <c r="B7" s="6">
        <v>5</v>
      </c>
      <c r="C7" s="16" t="s">
        <v>46</v>
      </c>
      <c r="D7" s="17" t="s">
        <v>56</v>
      </c>
      <c r="E7" s="17">
        <v>0</v>
      </c>
      <c r="F7" s="17">
        <v>0</v>
      </c>
      <c r="G7" s="17">
        <v>4</v>
      </c>
      <c r="H7" s="17">
        <v>52</v>
      </c>
      <c r="I7" s="17">
        <v>98</v>
      </c>
      <c r="J7" s="6">
        <f t="shared" si="0"/>
        <v>710</v>
      </c>
      <c r="K7" s="6">
        <f t="shared" si="1"/>
        <v>770</v>
      </c>
      <c r="L7" s="19">
        <f t="shared" si="2"/>
        <v>0.92207792207792205</v>
      </c>
      <c r="M7" s="2" t="str">
        <f t="shared" si="3"/>
        <v>Sangat Kuat</v>
      </c>
    </row>
    <row r="8" spans="1:13" ht="77.5" x14ac:dyDescent="0.35">
      <c r="A8" s="23"/>
      <c r="B8" s="24">
        <v>6</v>
      </c>
      <c r="C8" s="20"/>
      <c r="D8" s="25" t="s">
        <v>57</v>
      </c>
      <c r="E8" s="25">
        <v>0</v>
      </c>
      <c r="F8" s="25">
        <v>1</v>
      </c>
      <c r="G8" s="25">
        <v>5</v>
      </c>
      <c r="H8" s="25">
        <v>62</v>
      </c>
      <c r="I8" s="25">
        <v>86</v>
      </c>
      <c r="J8" s="24">
        <f t="shared" si="0"/>
        <v>695</v>
      </c>
      <c r="K8" s="24">
        <f t="shared" si="1"/>
        <v>770</v>
      </c>
      <c r="L8" s="26">
        <f t="shared" si="2"/>
        <v>0.90259740259740262</v>
      </c>
      <c r="M8" s="27" t="str">
        <f t="shared" si="3"/>
        <v>Sangat Kuat</v>
      </c>
    </row>
    <row r="9" spans="1:13" ht="15.5" x14ac:dyDescent="0.35">
      <c r="A9" s="12" t="s">
        <v>70</v>
      </c>
      <c r="B9" s="12"/>
      <c r="C9" s="12"/>
      <c r="D9" s="12"/>
      <c r="E9" s="12"/>
      <c r="F9" s="12"/>
      <c r="G9" s="12"/>
      <c r="H9" s="12"/>
      <c r="I9" s="12"/>
      <c r="J9" s="12">
        <f>SUM(J3:J8)</f>
        <v>4186</v>
      </c>
      <c r="K9" s="12"/>
      <c r="L9" s="12" t="str">
        <f>IF(J10&gt;0.8,"Sangat Kuat",IF(J10&gt;0.7,"Kuat",IF(J10&gt;0.6,"Cukup Kuat",0)))</f>
        <v>Sangat Kuat</v>
      </c>
      <c r="M9" s="12"/>
    </row>
    <row r="10" spans="1:13" ht="15.5" x14ac:dyDescent="0.35">
      <c r="A10" s="12" t="s">
        <v>71</v>
      </c>
      <c r="B10" s="12"/>
      <c r="C10" s="12"/>
      <c r="D10" s="12"/>
      <c r="E10" s="12"/>
      <c r="F10" s="12"/>
      <c r="G10" s="12"/>
      <c r="H10" s="12"/>
      <c r="I10" s="12"/>
      <c r="J10" s="18">
        <f>J9/SUM(K3:K8)</f>
        <v>0.90606060606060601</v>
      </c>
      <c r="K10" s="18"/>
      <c r="L10" s="12"/>
      <c r="M10" s="12"/>
    </row>
    <row r="11" spans="1:13" ht="15.5" x14ac:dyDescent="0.35">
      <c r="A11" s="29"/>
      <c r="B11" s="30"/>
      <c r="C11" s="31"/>
      <c r="D11" s="29"/>
      <c r="E11" s="29"/>
      <c r="F11" s="29"/>
      <c r="G11" s="29"/>
      <c r="H11" s="29"/>
      <c r="I11" s="29"/>
      <c r="J11" s="30"/>
      <c r="K11" s="30"/>
      <c r="L11" s="32"/>
      <c r="M11" s="31"/>
    </row>
    <row r="12" spans="1:13" ht="15.5" x14ac:dyDescent="0.35">
      <c r="A12" s="28" t="s">
        <v>27</v>
      </c>
      <c r="B12" s="28" t="s">
        <v>38</v>
      </c>
      <c r="C12" s="28" t="s">
        <v>2</v>
      </c>
      <c r="D12" s="28" t="s">
        <v>39</v>
      </c>
      <c r="E12" s="28" t="s">
        <v>40</v>
      </c>
      <c r="F12" s="28"/>
      <c r="G12" s="28"/>
      <c r="H12" s="28"/>
      <c r="I12" s="28"/>
      <c r="J12" s="22" t="s">
        <v>41</v>
      </c>
      <c r="K12" s="22" t="s">
        <v>42</v>
      </c>
      <c r="L12" s="28" t="s">
        <v>43</v>
      </c>
      <c r="M12" s="28" t="s">
        <v>0</v>
      </c>
    </row>
    <row r="13" spans="1:13" ht="15" x14ac:dyDescent="0.35">
      <c r="A13" s="12"/>
      <c r="B13" s="12"/>
      <c r="C13" s="12"/>
      <c r="D13" s="12"/>
      <c r="E13" s="13" t="s">
        <v>3</v>
      </c>
      <c r="F13" s="13" t="s">
        <v>4</v>
      </c>
      <c r="G13" s="13" t="s">
        <v>7</v>
      </c>
      <c r="H13" s="13" t="s">
        <v>5</v>
      </c>
      <c r="I13" s="13" t="s">
        <v>6</v>
      </c>
      <c r="J13" s="16"/>
      <c r="K13" s="16"/>
      <c r="L13" s="12"/>
      <c r="M13" s="12"/>
    </row>
    <row r="14" spans="1:13" ht="77.5" x14ac:dyDescent="0.35">
      <c r="A14" s="14" t="s">
        <v>29</v>
      </c>
      <c r="B14" s="6">
        <v>7</v>
      </c>
      <c r="C14" s="16" t="s">
        <v>47</v>
      </c>
      <c r="D14" s="17" t="s">
        <v>58</v>
      </c>
      <c r="E14" s="17">
        <v>0</v>
      </c>
      <c r="F14" s="17">
        <v>0</v>
      </c>
      <c r="G14" s="17">
        <v>11</v>
      </c>
      <c r="H14" s="17">
        <v>68</v>
      </c>
      <c r="I14" s="17">
        <v>75</v>
      </c>
      <c r="J14" s="6">
        <f t="shared" si="0"/>
        <v>680</v>
      </c>
      <c r="K14" s="6">
        <f t="shared" si="1"/>
        <v>770</v>
      </c>
      <c r="L14" s="19">
        <f t="shared" si="2"/>
        <v>0.88311688311688308</v>
      </c>
      <c r="M14" s="2" t="str">
        <f t="shared" si="3"/>
        <v>Sangat Kuat</v>
      </c>
    </row>
    <row r="15" spans="1:13" ht="108.5" x14ac:dyDescent="0.35">
      <c r="A15" s="14"/>
      <c r="B15" s="6">
        <v>8</v>
      </c>
      <c r="C15" s="16"/>
      <c r="D15" s="17" t="s">
        <v>59</v>
      </c>
      <c r="E15" s="17">
        <v>0</v>
      </c>
      <c r="F15" s="17">
        <v>0</v>
      </c>
      <c r="G15" s="17">
        <v>5</v>
      </c>
      <c r="H15" s="17">
        <v>62</v>
      </c>
      <c r="I15" s="17">
        <v>87</v>
      </c>
      <c r="J15" s="6">
        <f t="shared" si="0"/>
        <v>698</v>
      </c>
      <c r="K15" s="6">
        <f t="shared" si="1"/>
        <v>770</v>
      </c>
      <c r="L15" s="19">
        <f t="shared" si="2"/>
        <v>0.90649350649350646</v>
      </c>
      <c r="M15" s="2" t="str">
        <f t="shared" si="3"/>
        <v>Sangat Kuat</v>
      </c>
    </row>
    <row r="16" spans="1:13" ht="124" x14ac:dyDescent="0.35">
      <c r="A16" s="14"/>
      <c r="B16" s="6">
        <v>9</v>
      </c>
      <c r="C16" s="16" t="s">
        <v>48</v>
      </c>
      <c r="D16" s="17" t="s">
        <v>60</v>
      </c>
      <c r="E16" s="17">
        <v>0</v>
      </c>
      <c r="F16" s="17">
        <v>0</v>
      </c>
      <c r="G16" s="17">
        <v>5</v>
      </c>
      <c r="H16" s="17">
        <v>71</v>
      </c>
      <c r="I16" s="17">
        <v>78</v>
      </c>
      <c r="J16" s="6">
        <f t="shared" si="0"/>
        <v>689</v>
      </c>
      <c r="K16" s="6">
        <f t="shared" si="1"/>
        <v>770</v>
      </c>
      <c r="L16" s="19">
        <f t="shared" si="2"/>
        <v>0.89480519480519483</v>
      </c>
      <c r="M16" s="2" t="str">
        <f t="shared" si="3"/>
        <v>Sangat Kuat</v>
      </c>
    </row>
    <row r="17" spans="1:13" ht="93" x14ac:dyDescent="0.35">
      <c r="A17" s="14"/>
      <c r="B17" s="6">
        <v>10</v>
      </c>
      <c r="C17" s="16"/>
      <c r="D17" s="17" t="s">
        <v>61</v>
      </c>
      <c r="E17" s="17">
        <v>0</v>
      </c>
      <c r="F17" s="17">
        <v>0</v>
      </c>
      <c r="G17" s="17">
        <v>6</v>
      </c>
      <c r="H17" s="17">
        <v>62</v>
      </c>
      <c r="I17" s="17">
        <v>86</v>
      </c>
      <c r="J17" s="6">
        <f t="shared" si="0"/>
        <v>696</v>
      </c>
      <c r="K17" s="6">
        <f t="shared" si="1"/>
        <v>770</v>
      </c>
      <c r="L17" s="19">
        <f t="shared" si="2"/>
        <v>0.90389610389610386</v>
      </c>
      <c r="M17" s="2" t="str">
        <f t="shared" si="3"/>
        <v>Sangat Kuat</v>
      </c>
    </row>
    <row r="18" spans="1:13" ht="108.5" x14ac:dyDescent="0.35">
      <c r="A18" s="14"/>
      <c r="B18" s="6">
        <v>11</v>
      </c>
      <c r="C18" s="16" t="s">
        <v>49</v>
      </c>
      <c r="D18" s="17" t="s">
        <v>62</v>
      </c>
      <c r="E18" s="17">
        <v>0</v>
      </c>
      <c r="F18" s="17">
        <v>0</v>
      </c>
      <c r="G18" s="17">
        <v>9</v>
      </c>
      <c r="H18" s="17">
        <v>81</v>
      </c>
      <c r="I18" s="17">
        <v>64</v>
      </c>
      <c r="J18" s="6">
        <f t="shared" si="0"/>
        <v>671</v>
      </c>
      <c r="K18" s="6">
        <f t="shared" si="1"/>
        <v>770</v>
      </c>
      <c r="L18" s="19">
        <f t="shared" si="2"/>
        <v>0.87142857142857144</v>
      </c>
      <c r="M18" s="2" t="str">
        <f t="shared" si="3"/>
        <v>Sangat Kuat</v>
      </c>
    </row>
    <row r="19" spans="1:13" ht="108.5" x14ac:dyDescent="0.35">
      <c r="A19" s="14"/>
      <c r="B19" s="6">
        <v>12</v>
      </c>
      <c r="C19" s="16"/>
      <c r="D19" s="17" t="s">
        <v>63</v>
      </c>
      <c r="E19" s="17">
        <v>2</v>
      </c>
      <c r="F19" s="17">
        <v>1</v>
      </c>
      <c r="G19" s="17">
        <v>11</v>
      </c>
      <c r="H19" s="17">
        <v>86</v>
      </c>
      <c r="I19" s="17">
        <v>54</v>
      </c>
      <c r="J19" s="6">
        <f t="shared" si="0"/>
        <v>651</v>
      </c>
      <c r="K19" s="6">
        <f t="shared" si="1"/>
        <v>770</v>
      </c>
      <c r="L19" s="19">
        <f t="shared" si="2"/>
        <v>0.84545454545454546</v>
      </c>
      <c r="M19" s="2" t="str">
        <f t="shared" si="3"/>
        <v>Sangat Kuat</v>
      </c>
    </row>
    <row r="20" spans="1:13" ht="15.5" x14ac:dyDescent="0.35">
      <c r="A20" s="12" t="s">
        <v>70</v>
      </c>
      <c r="B20" s="12"/>
      <c r="C20" s="12"/>
      <c r="D20" s="12"/>
      <c r="E20" s="12"/>
      <c r="F20" s="12"/>
      <c r="G20" s="12"/>
      <c r="H20" s="12"/>
      <c r="I20" s="12"/>
      <c r="J20" s="12">
        <f>SUM(J14:J19)</f>
        <v>4085</v>
      </c>
      <c r="K20" s="12"/>
      <c r="L20" s="12" t="str">
        <f>IF(J21&gt;0.8,"Sangat Kuat",IF(J21&gt;0.7,"Kuat",IF(J21&gt;0.6,"Cukup Kuat",0)))</f>
        <v>Sangat Kuat</v>
      </c>
      <c r="M20" s="12"/>
    </row>
    <row r="21" spans="1:13" ht="15.5" x14ac:dyDescent="0.35">
      <c r="A21" s="12" t="s">
        <v>71</v>
      </c>
      <c r="B21" s="12"/>
      <c r="C21" s="12"/>
      <c r="D21" s="12"/>
      <c r="E21" s="12"/>
      <c r="F21" s="12"/>
      <c r="G21" s="12"/>
      <c r="H21" s="12"/>
      <c r="I21" s="12"/>
      <c r="J21" s="18">
        <f>J20/SUM(K14:K19)</f>
        <v>0.88419913419913421</v>
      </c>
      <c r="K21" s="18"/>
      <c r="L21" s="12"/>
      <c r="M21" s="12"/>
    </row>
    <row r="22" spans="1:13" ht="15.5" x14ac:dyDescent="0.35">
      <c r="A22" s="29"/>
      <c r="B22" s="30"/>
      <c r="C22" s="31"/>
      <c r="D22" s="29"/>
      <c r="E22" s="29"/>
      <c r="F22" s="29"/>
      <c r="G22" s="29"/>
      <c r="H22" s="29"/>
      <c r="I22" s="29"/>
      <c r="J22" s="30"/>
      <c r="K22" s="30"/>
      <c r="L22" s="32"/>
      <c r="M22" s="31"/>
    </row>
    <row r="23" spans="1:13" ht="15.5" x14ac:dyDescent="0.35">
      <c r="A23" s="28" t="s">
        <v>27</v>
      </c>
      <c r="B23" s="28" t="s">
        <v>38</v>
      </c>
      <c r="C23" s="28" t="s">
        <v>2</v>
      </c>
      <c r="D23" s="28" t="s">
        <v>39</v>
      </c>
      <c r="E23" s="28" t="s">
        <v>40</v>
      </c>
      <c r="F23" s="28"/>
      <c r="G23" s="28"/>
      <c r="H23" s="28"/>
      <c r="I23" s="28"/>
      <c r="J23" s="22" t="s">
        <v>41</v>
      </c>
      <c r="K23" s="22" t="s">
        <v>42</v>
      </c>
      <c r="L23" s="28" t="s">
        <v>43</v>
      </c>
      <c r="M23" s="28" t="s">
        <v>0</v>
      </c>
    </row>
    <row r="24" spans="1:13" ht="15" x14ac:dyDescent="0.35">
      <c r="A24" s="12"/>
      <c r="B24" s="12"/>
      <c r="C24" s="12"/>
      <c r="D24" s="12"/>
      <c r="E24" s="13" t="s">
        <v>3</v>
      </c>
      <c r="F24" s="13" t="s">
        <v>4</v>
      </c>
      <c r="G24" s="13" t="s">
        <v>7</v>
      </c>
      <c r="H24" s="13" t="s">
        <v>5</v>
      </c>
      <c r="I24" s="13" t="s">
        <v>6</v>
      </c>
      <c r="J24" s="16"/>
      <c r="K24" s="16"/>
      <c r="L24" s="12"/>
      <c r="M24" s="12"/>
    </row>
    <row r="25" spans="1:13" ht="93" x14ac:dyDescent="0.35">
      <c r="A25" s="14" t="s">
        <v>30</v>
      </c>
      <c r="B25" s="6">
        <v>13</v>
      </c>
      <c r="C25" s="16" t="s">
        <v>50</v>
      </c>
      <c r="D25" s="17" t="s">
        <v>64</v>
      </c>
      <c r="E25" s="17">
        <v>0</v>
      </c>
      <c r="F25" s="17">
        <v>3</v>
      </c>
      <c r="G25" s="17">
        <v>22</v>
      </c>
      <c r="H25" s="17">
        <v>79</v>
      </c>
      <c r="I25" s="17">
        <v>50</v>
      </c>
      <c r="J25" s="6">
        <f t="shared" si="0"/>
        <v>638</v>
      </c>
      <c r="K25" s="6">
        <f t="shared" si="1"/>
        <v>770</v>
      </c>
      <c r="L25" s="19">
        <f t="shared" si="2"/>
        <v>0.82857142857142863</v>
      </c>
      <c r="M25" s="2" t="str">
        <f t="shared" si="3"/>
        <v>Sangat Kuat</v>
      </c>
    </row>
    <row r="26" spans="1:13" ht="77.5" x14ac:dyDescent="0.35">
      <c r="A26" s="14"/>
      <c r="B26" s="6">
        <v>14</v>
      </c>
      <c r="C26" s="16"/>
      <c r="D26" s="17" t="s">
        <v>65</v>
      </c>
      <c r="E26" s="17">
        <v>0</v>
      </c>
      <c r="F26" s="17">
        <v>2</v>
      </c>
      <c r="G26" s="17">
        <v>13</v>
      </c>
      <c r="H26" s="17">
        <v>80</v>
      </c>
      <c r="I26" s="17">
        <v>59</v>
      </c>
      <c r="J26" s="6">
        <f t="shared" si="0"/>
        <v>658</v>
      </c>
      <c r="K26" s="6">
        <f t="shared" si="1"/>
        <v>770</v>
      </c>
      <c r="L26" s="19">
        <f t="shared" si="2"/>
        <v>0.8545454545454545</v>
      </c>
      <c r="M26" s="2" t="str">
        <f t="shared" si="3"/>
        <v>Sangat Kuat</v>
      </c>
    </row>
    <row r="27" spans="1:13" ht="124" x14ac:dyDescent="0.35">
      <c r="A27" s="14"/>
      <c r="B27" s="6">
        <v>15</v>
      </c>
      <c r="C27" s="16" t="s">
        <v>51</v>
      </c>
      <c r="D27" s="17" t="s">
        <v>66</v>
      </c>
      <c r="E27" s="17">
        <v>0</v>
      </c>
      <c r="F27" s="17">
        <v>1</v>
      </c>
      <c r="G27" s="17">
        <v>16</v>
      </c>
      <c r="H27" s="17">
        <v>83</v>
      </c>
      <c r="I27" s="17">
        <v>54</v>
      </c>
      <c r="J27" s="6">
        <f t="shared" si="0"/>
        <v>652</v>
      </c>
      <c r="K27" s="6">
        <f t="shared" si="1"/>
        <v>770</v>
      </c>
      <c r="L27" s="19">
        <f t="shared" si="2"/>
        <v>0.8467532467532467</v>
      </c>
      <c r="M27" s="2" t="str">
        <f t="shared" si="3"/>
        <v>Sangat Kuat</v>
      </c>
    </row>
    <row r="28" spans="1:13" ht="77.5" x14ac:dyDescent="0.35">
      <c r="A28" s="14"/>
      <c r="B28" s="6">
        <v>16</v>
      </c>
      <c r="C28" s="16"/>
      <c r="D28" s="17" t="s">
        <v>67</v>
      </c>
      <c r="E28" s="17">
        <v>0</v>
      </c>
      <c r="F28" s="17">
        <v>3</v>
      </c>
      <c r="G28" s="17">
        <v>22</v>
      </c>
      <c r="H28" s="17">
        <v>79</v>
      </c>
      <c r="I28" s="17">
        <v>50</v>
      </c>
      <c r="J28" s="6">
        <f t="shared" si="0"/>
        <v>638</v>
      </c>
      <c r="K28" s="6">
        <f t="shared" si="1"/>
        <v>770</v>
      </c>
      <c r="L28" s="19">
        <f t="shared" si="2"/>
        <v>0.82857142857142863</v>
      </c>
      <c r="M28" s="2" t="str">
        <f t="shared" si="3"/>
        <v>Sangat Kuat</v>
      </c>
    </row>
    <row r="29" spans="1:13" ht="77.5" x14ac:dyDescent="0.35">
      <c r="A29" s="14"/>
      <c r="B29" s="6">
        <v>17</v>
      </c>
      <c r="C29" s="16" t="s">
        <v>52</v>
      </c>
      <c r="D29" s="17" t="s">
        <v>68</v>
      </c>
      <c r="E29" s="17">
        <v>0</v>
      </c>
      <c r="F29" s="17">
        <v>1</v>
      </c>
      <c r="G29" s="17">
        <v>8</v>
      </c>
      <c r="H29" s="17">
        <v>75</v>
      </c>
      <c r="I29" s="17">
        <v>70</v>
      </c>
      <c r="J29" s="6">
        <f t="shared" si="0"/>
        <v>676</v>
      </c>
      <c r="K29" s="6">
        <f t="shared" si="1"/>
        <v>770</v>
      </c>
      <c r="L29" s="19">
        <f t="shared" si="2"/>
        <v>0.87792207792207788</v>
      </c>
      <c r="M29" s="2" t="str">
        <f t="shared" si="3"/>
        <v>Sangat Kuat</v>
      </c>
    </row>
    <row r="30" spans="1:13" ht="93" x14ac:dyDescent="0.35">
      <c r="A30" s="14"/>
      <c r="B30" s="6">
        <v>18</v>
      </c>
      <c r="C30" s="16"/>
      <c r="D30" s="17" t="s">
        <v>69</v>
      </c>
      <c r="E30" s="17">
        <v>0</v>
      </c>
      <c r="F30" s="17">
        <v>0</v>
      </c>
      <c r="G30" s="17">
        <v>3</v>
      </c>
      <c r="H30" s="17">
        <v>67</v>
      </c>
      <c r="I30" s="17">
        <v>84</v>
      </c>
      <c r="J30" s="6">
        <f t="shared" si="0"/>
        <v>697</v>
      </c>
      <c r="K30" s="6">
        <f t="shared" si="1"/>
        <v>770</v>
      </c>
      <c r="L30" s="19">
        <f t="shared" si="2"/>
        <v>0.90519480519480522</v>
      </c>
      <c r="M30" s="2" t="str">
        <f>IF(L30&gt;0.8,"Sangat Kuat",IF(L30&gt;0.7,"Kuat",IF(L30&gt;0.6,"Cukup Kuat",0)))</f>
        <v>Sangat Kuat</v>
      </c>
    </row>
    <row r="31" spans="1:13" ht="15.5" x14ac:dyDescent="0.35">
      <c r="A31" s="12" t="s">
        <v>70</v>
      </c>
      <c r="B31" s="12"/>
      <c r="C31" s="12"/>
      <c r="D31" s="12"/>
      <c r="E31" s="12"/>
      <c r="F31" s="12"/>
      <c r="G31" s="12"/>
      <c r="H31" s="12"/>
      <c r="I31" s="12"/>
      <c r="J31" s="12">
        <f>SUM(J25:J30)</f>
        <v>3959</v>
      </c>
      <c r="K31" s="12"/>
      <c r="L31" s="12" t="str">
        <f>IF(J32&gt;0.8,"Sangat Kuat",IF(J32&gt;0.7,"Kuat",IF(J32&gt;0.6,"Cukup Kuat",0)))</f>
        <v>Sangat Kuat</v>
      </c>
      <c r="M31" s="12"/>
    </row>
    <row r="32" spans="1:13" ht="15.5" x14ac:dyDescent="0.35">
      <c r="A32" s="12" t="s">
        <v>71</v>
      </c>
      <c r="B32" s="12"/>
      <c r="C32" s="12"/>
      <c r="D32" s="12"/>
      <c r="E32" s="12"/>
      <c r="F32" s="12"/>
      <c r="G32" s="12"/>
      <c r="H32" s="12"/>
      <c r="I32" s="12"/>
      <c r="J32" s="18">
        <f>J31/SUM(K25:K30)</f>
        <v>0.85692640692640698</v>
      </c>
      <c r="K32" s="18"/>
      <c r="L32" s="12"/>
      <c r="M32" s="12"/>
    </row>
    <row r="35" spans="1:5" ht="15.5" x14ac:dyDescent="0.35">
      <c r="A35" s="34" t="s">
        <v>115</v>
      </c>
      <c r="B35" s="34" t="s">
        <v>27</v>
      </c>
      <c r="C35" s="34" t="s">
        <v>116</v>
      </c>
      <c r="D35" s="34" t="s">
        <v>117</v>
      </c>
      <c r="E35" s="34" t="s">
        <v>0</v>
      </c>
    </row>
    <row r="36" spans="1:5" ht="15.5" x14ac:dyDescent="0.35">
      <c r="A36" s="6">
        <v>1</v>
      </c>
      <c r="B36" s="34" t="s">
        <v>28</v>
      </c>
      <c r="C36" s="6">
        <v>4186</v>
      </c>
      <c r="D36" s="6">
        <v>0.90610000000000002</v>
      </c>
      <c r="E36" s="6" t="str">
        <f>IF(D36&gt;0.8,"Sangat Kuat",IF(D36&gt;0.7,"Kuat",IF(D36&gt;0.6,"Cukup Kuat",0)))</f>
        <v>Sangat Kuat</v>
      </c>
    </row>
    <row r="37" spans="1:5" ht="15.5" x14ac:dyDescent="0.35">
      <c r="A37" s="6">
        <v>2</v>
      </c>
      <c r="B37" s="34" t="s">
        <v>118</v>
      </c>
      <c r="C37" s="6">
        <v>4085</v>
      </c>
      <c r="D37" s="6">
        <v>0.88419999999999999</v>
      </c>
      <c r="E37" s="6" t="str">
        <f>IF(D37&gt;0.8,"Sangat Kuat",IF(D37&gt;0.7,"Kuat",IF(D37&gt;0.6,"Cukup Kuat",0)))</f>
        <v>Sangat Kuat</v>
      </c>
    </row>
    <row r="38" spans="1:5" ht="15.5" x14ac:dyDescent="0.35">
      <c r="A38" s="6">
        <v>3</v>
      </c>
      <c r="B38" s="34" t="s">
        <v>30</v>
      </c>
      <c r="C38" s="6">
        <v>3959</v>
      </c>
      <c r="D38" s="6">
        <v>0.8569</v>
      </c>
      <c r="E38" s="6" t="str">
        <f>IF(D38&gt;0.8,"Sangat Kuat",IF(D38&gt;0.7,"Kuat",IF(D38&gt;0.6,"Cukup Kuat",0)))</f>
        <v>Sangat Kuat</v>
      </c>
    </row>
    <row r="39" spans="1:5" ht="15.5" x14ac:dyDescent="0.35">
      <c r="A39" s="35" t="s">
        <v>1</v>
      </c>
      <c r="B39" s="36"/>
      <c r="C39" s="6">
        <f>SUM(C36:C38)</f>
        <v>12230</v>
      </c>
      <c r="D39" s="6">
        <f>AVERAGE(D36:D38)</f>
        <v>0.88239999999999996</v>
      </c>
      <c r="E39" s="6" t="str">
        <f>IF(D39&gt;0.8,"Sangat Kuat",IF(D39&gt;0.7,"Kuat",IF(D39&gt;0.6,"Cukup Kuat",0)))</f>
        <v>Sangat Kuat</v>
      </c>
    </row>
  </sheetData>
  <mergeCells count="55">
    <mergeCell ref="J9:K9"/>
    <mergeCell ref="L9:M10"/>
    <mergeCell ref="A10:I10"/>
    <mergeCell ref="J10:K10"/>
    <mergeCell ref="A39:B39"/>
    <mergeCell ref="K23:K24"/>
    <mergeCell ref="L23:L24"/>
    <mergeCell ref="M23:M24"/>
    <mergeCell ref="A20:I20"/>
    <mergeCell ref="J20:K20"/>
    <mergeCell ref="L20:M21"/>
    <mergeCell ref="A21:I21"/>
    <mergeCell ref="J21:K21"/>
    <mergeCell ref="J12:J13"/>
    <mergeCell ref="K12:K13"/>
    <mergeCell ref="L12:L13"/>
    <mergeCell ref="M12:M13"/>
    <mergeCell ref="A23:A24"/>
    <mergeCell ref="B23:B24"/>
    <mergeCell ref="C23:C24"/>
    <mergeCell ref="D23:D24"/>
    <mergeCell ref="E23:I23"/>
    <mergeCell ref="J23:J24"/>
    <mergeCell ref="L31:M32"/>
    <mergeCell ref="J31:K31"/>
    <mergeCell ref="J32:K32"/>
    <mergeCell ref="A31:I31"/>
    <mergeCell ref="A32:I32"/>
    <mergeCell ref="C14:C15"/>
    <mergeCell ref="C16:C17"/>
    <mergeCell ref="C18:C19"/>
    <mergeCell ref="C25:C26"/>
    <mergeCell ref="C27:C28"/>
    <mergeCell ref="C29:C30"/>
    <mergeCell ref="K1:K2"/>
    <mergeCell ref="L1:L2"/>
    <mergeCell ref="M1:M2"/>
    <mergeCell ref="C3:C4"/>
    <mergeCell ref="C5:C6"/>
    <mergeCell ref="C7:C8"/>
    <mergeCell ref="A1:A2"/>
    <mergeCell ref="B1:B2"/>
    <mergeCell ref="C1:C2"/>
    <mergeCell ref="D1:D2"/>
    <mergeCell ref="E1:I1"/>
    <mergeCell ref="J1:J2"/>
    <mergeCell ref="A3:A8"/>
    <mergeCell ref="A14:A19"/>
    <mergeCell ref="A25:A30"/>
    <mergeCell ref="A12:A13"/>
    <mergeCell ref="B12:B13"/>
    <mergeCell ref="C12:C13"/>
    <mergeCell ref="D12:D13"/>
    <mergeCell ref="E12:I12"/>
    <mergeCell ref="A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FFA1-12DA-4279-B3CF-60F8EF4E3282}">
  <dimension ref="A1:M39"/>
  <sheetViews>
    <sheetView topLeftCell="A32" zoomScale="94" workbookViewId="0">
      <selection activeCell="D43" sqref="D43"/>
    </sheetView>
  </sheetViews>
  <sheetFormatPr defaultRowHeight="14.5" x14ac:dyDescent="0.35"/>
  <cols>
    <col min="1" max="1" width="12.26953125" customWidth="1"/>
    <col min="2" max="2" width="11" bestFit="1" customWidth="1"/>
    <col min="3" max="4" width="13.1796875" customWidth="1"/>
    <col min="5" max="5" width="11.7265625" bestFit="1" customWidth="1"/>
    <col min="6" max="6" width="7.08984375" bestFit="1" customWidth="1"/>
    <col min="7" max="7" width="7.26953125" bestFit="1" customWidth="1"/>
    <col min="8" max="8" width="5.7265625" bestFit="1" customWidth="1"/>
    <col min="9" max="9" width="7.08984375" bestFit="1" customWidth="1"/>
    <col min="10" max="10" width="7.36328125" customWidth="1"/>
    <col min="11" max="11" width="6.1796875" customWidth="1"/>
    <col min="12" max="12" width="7.81640625" bestFit="1" customWidth="1"/>
    <col min="13" max="13" width="7.90625" customWidth="1"/>
  </cols>
  <sheetData>
    <row r="1" spans="1:13" ht="15.5" x14ac:dyDescent="0.35">
      <c r="A1" s="12" t="s">
        <v>27</v>
      </c>
      <c r="B1" s="12" t="s">
        <v>38</v>
      </c>
      <c r="C1" s="12" t="s">
        <v>2</v>
      </c>
      <c r="D1" s="12" t="s">
        <v>39</v>
      </c>
      <c r="E1" s="12" t="s">
        <v>40</v>
      </c>
      <c r="F1" s="12"/>
      <c r="G1" s="12"/>
      <c r="H1" s="12"/>
      <c r="I1" s="12"/>
      <c r="J1" s="16" t="s">
        <v>41</v>
      </c>
      <c r="K1" s="16" t="s">
        <v>42</v>
      </c>
      <c r="L1" s="12" t="s">
        <v>43</v>
      </c>
      <c r="M1" s="12" t="s">
        <v>0</v>
      </c>
    </row>
    <row r="2" spans="1:13" ht="15" x14ac:dyDescent="0.35">
      <c r="A2" s="12"/>
      <c r="B2" s="12"/>
      <c r="C2" s="12"/>
      <c r="D2" s="12"/>
      <c r="E2" s="13" t="s">
        <v>3</v>
      </c>
      <c r="F2" s="13" t="s">
        <v>4</v>
      </c>
      <c r="G2" s="13" t="s">
        <v>7</v>
      </c>
      <c r="H2" s="13" t="s">
        <v>5</v>
      </c>
      <c r="I2" s="13" t="s">
        <v>6</v>
      </c>
      <c r="J2" s="16"/>
      <c r="K2" s="16"/>
      <c r="L2" s="12"/>
      <c r="M2" s="12"/>
    </row>
    <row r="3" spans="1:13" ht="108.5" x14ac:dyDescent="0.35">
      <c r="A3" s="14" t="s">
        <v>31</v>
      </c>
      <c r="B3" s="6">
        <v>19</v>
      </c>
      <c r="C3" s="16" t="s">
        <v>102</v>
      </c>
      <c r="D3" s="17" t="s">
        <v>72</v>
      </c>
      <c r="E3" s="17">
        <v>0</v>
      </c>
      <c r="F3" s="17">
        <v>3</v>
      </c>
      <c r="G3" s="17">
        <v>23</v>
      </c>
      <c r="H3" s="17">
        <v>61</v>
      </c>
      <c r="I3" s="17">
        <v>67</v>
      </c>
      <c r="J3" s="6">
        <f>SUM(E3*1,F3*2,G3*3,H3*4,I3*5)</f>
        <v>654</v>
      </c>
      <c r="K3" s="6">
        <f>5*154</f>
        <v>770</v>
      </c>
      <c r="L3" s="19">
        <f>J3/K3</f>
        <v>0.8493506493506493</v>
      </c>
      <c r="M3" s="2" t="str">
        <f>IF(L3&gt;0.8,"Sangat Kuat",IF(L3&gt;0.7,"Kuat",IF(L3&gt;0.6,"Cukup Kuat",0)))</f>
        <v>Sangat Kuat</v>
      </c>
    </row>
    <row r="4" spans="1:13" ht="131.5" customHeight="1" x14ac:dyDescent="0.35">
      <c r="A4" s="14"/>
      <c r="B4" s="6">
        <v>20</v>
      </c>
      <c r="C4" s="16"/>
      <c r="D4" s="17" t="s">
        <v>73</v>
      </c>
      <c r="E4" s="17">
        <v>2</v>
      </c>
      <c r="F4" s="17">
        <v>6</v>
      </c>
      <c r="G4" s="17">
        <v>32</v>
      </c>
      <c r="H4" s="17">
        <v>73</v>
      </c>
      <c r="I4" s="17">
        <v>41</v>
      </c>
      <c r="J4" s="6">
        <f t="shared" ref="J4:J30" si="0">SUM(E4*1,F4*2,G4*3,H4*4,I4*5)</f>
        <v>607</v>
      </c>
      <c r="K4" s="6">
        <f t="shared" ref="K4:K30" si="1">5*154</f>
        <v>770</v>
      </c>
      <c r="L4" s="19">
        <f t="shared" ref="L4:L30" si="2">J4/K4</f>
        <v>0.7883116883116883</v>
      </c>
      <c r="M4" s="2" t="str">
        <f t="shared" ref="M4:M29" si="3">IF(L4&gt;0.8,"Sangat Kuat",IF(L4&gt;0.7,"Kuat",IF(L4&gt;0.6,"Cukup Kuat",0)))</f>
        <v>Kuat</v>
      </c>
    </row>
    <row r="5" spans="1:13" ht="108.5" x14ac:dyDescent="0.35">
      <c r="A5" s="14"/>
      <c r="B5" s="6">
        <v>21</v>
      </c>
      <c r="C5" s="16" t="s">
        <v>103</v>
      </c>
      <c r="D5" s="17" t="s">
        <v>74</v>
      </c>
      <c r="E5" s="17">
        <v>3</v>
      </c>
      <c r="F5" s="17">
        <v>8</v>
      </c>
      <c r="G5" s="17">
        <v>29</v>
      </c>
      <c r="H5" s="17">
        <v>73</v>
      </c>
      <c r="I5" s="17">
        <v>41</v>
      </c>
      <c r="J5" s="6">
        <f t="shared" si="0"/>
        <v>603</v>
      </c>
      <c r="K5" s="6">
        <f t="shared" si="1"/>
        <v>770</v>
      </c>
      <c r="L5" s="19">
        <f t="shared" si="2"/>
        <v>0.7831168831168831</v>
      </c>
      <c r="M5" s="2" t="str">
        <f t="shared" si="3"/>
        <v>Kuat</v>
      </c>
    </row>
    <row r="6" spans="1:13" ht="108.5" x14ac:dyDescent="0.35">
      <c r="A6" s="14"/>
      <c r="B6" s="6">
        <v>22</v>
      </c>
      <c r="C6" s="16"/>
      <c r="D6" s="17" t="s">
        <v>75</v>
      </c>
      <c r="E6" s="17">
        <v>3</v>
      </c>
      <c r="F6" s="17">
        <v>12</v>
      </c>
      <c r="G6" s="17">
        <v>33</v>
      </c>
      <c r="H6" s="17">
        <v>69</v>
      </c>
      <c r="I6" s="17">
        <v>37</v>
      </c>
      <c r="J6" s="6">
        <f t="shared" si="0"/>
        <v>587</v>
      </c>
      <c r="K6" s="6">
        <f t="shared" si="1"/>
        <v>770</v>
      </c>
      <c r="L6" s="19">
        <f t="shared" si="2"/>
        <v>0.76233766233766231</v>
      </c>
      <c r="M6" s="2" t="str">
        <f t="shared" si="3"/>
        <v>Kuat</v>
      </c>
    </row>
    <row r="7" spans="1:13" ht="124" x14ac:dyDescent="0.35">
      <c r="A7" s="14"/>
      <c r="B7" s="6">
        <v>23</v>
      </c>
      <c r="C7" s="16" t="s">
        <v>104</v>
      </c>
      <c r="D7" s="17" t="s">
        <v>76</v>
      </c>
      <c r="E7" s="17">
        <v>0</v>
      </c>
      <c r="F7" s="17">
        <v>3</v>
      </c>
      <c r="G7" s="17">
        <v>15</v>
      </c>
      <c r="H7" s="17">
        <v>52</v>
      </c>
      <c r="I7" s="17">
        <v>84</v>
      </c>
      <c r="J7" s="6">
        <f t="shared" si="0"/>
        <v>679</v>
      </c>
      <c r="K7" s="6">
        <f t="shared" si="1"/>
        <v>770</v>
      </c>
      <c r="L7" s="19">
        <f t="shared" si="2"/>
        <v>0.88181818181818183</v>
      </c>
      <c r="M7" s="2" t="str">
        <f t="shared" si="3"/>
        <v>Sangat Kuat</v>
      </c>
    </row>
    <row r="8" spans="1:13" ht="93" x14ac:dyDescent="0.35">
      <c r="A8" s="14"/>
      <c r="B8" s="6">
        <v>24</v>
      </c>
      <c r="C8" s="16"/>
      <c r="D8" s="17" t="s">
        <v>77</v>
      </c>
      <c r="E8" s="17">
        <v>0</v>
      </c>
      <c r="F8" s="17">
        <v>2</v>
      </c>
      <c r="G8" s="17">
        <v>14</v>
      </c>
      <c r="H8" s="17">
        <v>78</v>
      </c>
      <c r="I8" s="17">
        <v>60</v>
      </c>
      <c r="J8" s="6">
        <f t="shared" si="0"/>
        <v>658</v>
      </c>
      <c r="K8" s="6">
        <f t="shared" si="1"/>
        <v>770</v>
      </c>
      <c r="L8" s="19">
        <f t="shared" si="2"/>
        <v>0.8545454545454545</v>
      </c>
      <c r="M8" s="2" t="str">
        <f t="shared" si="3"/>
        <v>Sangat Kuat</v>
      </c>
    </row>
    <row r="9" spans="1:13" ht="15.5" x14ac:dyDescent="0.35">
      <c r="A9" s="12" t="s">
        <v>70</v>
      </c>
      <c r="B9" s="12"/>
      <c r="C9" s="12"/>
      <c r="D9" s="12"/>
      <c r="E9" s="12"/>
      <c r="F9" s="12"/>
      <c r="G9" s="12"/>
      <c r="H9" s="12"/>
      <c r="I9" s="12"/>
      <c r="J9" s="12">
        <f>SUM(J3:J8)</f>
        <v>3788</v>
      </c>
      <c r="K9" s="12"/>
      <c r="L9" s="12" t="str">
        <f>IF(J10&gt;0.8,"Sangat Kuat",IF(J10&gt;0.7,"Kuat",IF(J10&gt;0.6,"Cukup Kuat",0)))</f>
        <v>Sangat Kuat</v>
      </c>
      <c r="M9" s="12"/>
    </row>
    <row r="10" spans="1:13" ht="15.5" x14ac:dyDescent="0.35">
      <c r="A10" s="12" t="s">
        <v>71</v>
      </c>
      <c r="B10" s="12"/>
      <c r="C10" s="12"/>
      <c r="D10" s="12"/>
      <c r="E10" s="12"/>
      <c r="F10" s="12"/>
      <c r="G10" s="12"/>
      <c r="H10" s="12"/>
      <c r="I10" s="12"/>
      <c r="J10" s="18">
        <f>J9/SUM(K3:K8)</f>
        <v>0.81991341991341993</v>
      </c>
      <c r="K10" s="18"/>
      <c r="L10" s="12"/>
      <c r="M10" s="12"/>
    </row>
    <row r="11" spans="1:13" ht="15.5" x14ac:dyDescent="0.35">
      <c r="A11" s="29"/>
      <c r="B11" s="30"/>
      <c r="C11" s="31"/>
      <c r="D11" s="29"/>
      <c r="E11" s="29"/>
      <c r="F11" s="29"/>
      <c r="G11" s="29"/>
      <c r="H11" s="29"/>
      <c r="I11" s="29"/>
      <c r="J11" s="30"/>
      <c r="K11" s="30"/>
      <c r="L11" s="32"/>
      <c r="M11" s="31"/>
    </row>
    <row r="12" spans="1:13" ht="15.5" x14ac:dyDescent="0.35">
      <c r="A12" s="28" t="s">
        <v>27</v>
      </c>
      <c r="B12" s="28" t="s">
        <v>38</v>
      </c>
      <c r="C12" s="28" t="s">
        <v>2</v>
      </c>
      <c r="D12" s="28" t="s">
        <v>39</v>
      </c>
      <c r="E12" s="28" t="s">
        <v>40</v>
      </c>
      <c r="F12" s="28"/>
      <c r="G12" s="28"/>
      <c r="H12" s="28"/>
      <c r="I12" s="28"/>
      <c r="J12" s="22" t="s">
        <v>41</v>
      </c>
      <c r="K12" s="22" t="s">
        <v>42</v>
      </c>
      <c r="L12" s="28" t="s">
        <v>43</v>
      </c>
      <c r="M12" s="28" t="s">
        <v>0</v>
      </c>
    </row>
    <row r="13" spans="1:13" ht="15" x14ac:dyDescent="0.35">
      <c r="A13" s="12"/>
      <c r="B13" s="12"/>
      <c r="C13" s="12"/>
      <c r="D13" s="12"/>
      <c r="E13" s="13" t="s">
        <v>3</v>
      </c>
      <c r="F13" s="13" t="s">
        <v>4</v>
      </c>
      <c r="G13" s="13" t="s">
        <v>7</v>
      </c>
      <c r="H13" s="13" t="s">
        <v>5</v>
      </c>
      <c r="I13" s="13" t="s">
        <v>6</v>
      </c>
      <c r="J13" s="16"/>
      <c r="K13" s="16"/>
      <c r="L13" s="12"/>
      <c r="M13" s="12"/>
    </row>
    <row r="14" spans="1:13" ht="124" x14ac:dyDescent="0.35">
      <c r="A14" s="14" t="s">
        <v>32</v>
      </c>
      <c r="B14" s="6">
        <v>25</v>
      </c>
      <c r="C14" s="16" t="s">
        <v>105</v>
      </c>
      <c r="D14" s="17" t="s">
        <v>78</v>
      </c>
      <c r="E14" s="17">
        <v>0</v>
      </c>
      <c r="F14" s="17">
        <v>3</v>
      </c>
      <c r="G14" s="17">
        <v>21</v>
      </c>
      <c r="H14" s="17">
        <v>77</v>
      </c>
      <c r="I14" s="17">
        <v>53</v>
      </c>
      <c r="J14" s="6">
        <f t="shared" si="0"/>
        <v>642</v>
      </c>
      <c r="K14" s="6">
        <f t="shared" si="1"/>
        <v>770</v>
      </c>
      <c r="L14" s="19">
        <f t="shared" si="2"/>
        <v>0.83376623376623371</v>
      </c>
      <c r="M14" s="2" t="str">
        <f t="shared" si="3"/>
        <v>Sangat Kuat</v>
      </c>
    </row>
    <row r="15" spans="1:13" ht="93" x14ac:dyDescent="0.35">
      <c r="A15" s="14"/>
      <c r="B15" s="6">
        <v>26</v>
      </c>
      <c r="C15" s="16"/>
      <c r="D15" s="17" t="s">
        <v>79</v>
      </c>
      <c r="E15" s="17">
        <v>1</v>
      </c>
      <c r="F15" s="17">
        <v>3</v>
      </c>
      <c r="G15" s="17">
        <v>30</v>
      </c>
      <c r="H15" s="17">
        <v>68</v>
      </c>
      <c r="I15" s="17">
        <v>52</v>
      </c>
      <c r="J15" s="6">
        <f t="shared" si="0"/>
        <v>629</v>
      </c>
      <c r="K15" s="6">
        <f t="shared" si="1"/>
        <v>770</v>
      </c>
      <c r="L15" s="19">
        <f t="shared" si="2"/>
        <v>0.81688311688311688</v>
      </c>
      <c r="M15" s="2" t="str">
        <f t="shared" si="3"/>
        <v>Sangat Kuat</v>
      </c>
    </row>
    <row r="16" spans="1:13" ht="93" x14ac:dyDescent="0.35">
      <c r="A16" s="14"/>
      <c r="B16" s="6">
        <v>27</v>
      </c>
      <c r="C16" s="16" t="s">
        <v>106</v>
      </c>
      <c r="D16" s="17" t="s">
        <v>80</v>
      </c>
      <c r="E16" s="17">
        <v>0</v>
      </c>
      <c r="F16" s="17">
        <v>5</v>
      </c>
      <c r="G16" s="17">
        <v>24</v>
      </c>
      <c r="H16" s="17">
        <v>79</v>
      </c>
      <c r="I16" s="17">
        <v>46</v>
      </c>
      <c r="J16" s="6">
        <f t="shared" si="0"/>
        <v>628</v>
      </c>
      <c r="K16" s="6">
        <f t="shared" si="1"/>
        <v>770</v>
      </c>
      <c r="L16" s="19">
        <f t="shared" si="2"/>
        <v>0.81558441558441563</v>
      </c>
      <c r="M16" s="2" t="str">
        <f t="shared" si="3"/>
        <v>Sangat Kuat</v>
      </c>
    </row>
    <row r="17" spans="1:13" ht="77.5" x14ac:dyDescent="0.35">
      <c r="A17" s="14"/>
      <c r="B17" s="6">
        <v>28</v>
      </c>
      <c r="C17" s="16"/>
      <c r="D17" s="17" t="s">
        <v>81</v>
      </c>
      <c r="E17" s="17">
        <v>0</v>
      </c>
      <c r="F17" s="17">
        <v>5</v>
      </c>
      <c r="G17" s="17">
        <v>24</v>
      </c>
      <c r="H17" s="17">
        <v>74</v>
      </c>
      <c r="I17" s="17">
        <v>51</v>
      </c>
      <c r="J17" s="6">
        <f t="shared" si="0"/>
        <v>633</v>
      </c>
      <c r="K17" s="6">
        <f t="shared" si="1"/>
        <v>770</v>
      </c>
      <c r="L17" s="19">
        <f t="shared" si="2"/>
        <v>0.82207792207792207</v>
      </c>
      <c r="M17" s="2" t="str">
        <f t="shared" si="3"/>
        <v>Sangat Kuat</v>
      </c>
    </row>
    <row r="18" spans="1:13" ht="93" x14ac:dyDescent="0.35">
      <c r="A18" s="14"/>
      <c r="B18" s="6">
        <v>29</v>
      </c>
      <c r="C18" s="16" t="s">
        <v>107</v>
      </c>
      <c r="D18" s="17" t="s">
        <v>82</v>
      </c>
      <c r="E18" s="17">
        <v>1</v>
      </c>
      <c r="F18" s="17">
        <v>5</v>
      </c>
      <c r="G18" s="17">
        <v>40</v>
      </c>
      <c r="H18" s="17">
        <v>68</v>
      </c>
      <c r="I18" s="17">
        <v>40</v>
      </c>
      <c r="J18" s="6">
        <f t="shared" si="0"/>
        <v>603</v>
      </c>
      <c r="K18" s="6">
        <f t="shared" si="1"/>
        <v>770</v>
      </c>
      <c r="L18" s="19">
        <f t="shared" si="2"/>
        <v>0.7831168831168831</v>
      </c>
      <c r="M18" s="2" t="str">
        <f t="shared" si="3"/>
        <v>Kuat</v>
      </c>
    </row>
    <row r="19" spans="1:13" ht="108.5" x14ac:dyDescent="0.35">
      <c r="A19" s="14"/>
      <c r="B19" s="6">
        <v>30</v>
      </c>
      <c r="C19" s="16"/>
      <c r="D19" s="17" t="s">
        <v>83</v>
      </c>
      <c r="E19" s="17">
        <v>0</v>
      </c>
      <c r="F19" s="17">
        <v>5</v>
      </c>
      <c r="G19" s="17">
        <v>27</v>
      </c>
      <c r="H19" s="17">
        <v>76</v>
      </c>
      <c r="I19" s="17">
        <v>46</v>
      </c>
      <c r="J19" s="6">
        <f t="shared" si="0"/>
        <v>625</v>
      </c>
      <c r="K19" s="6">
        <f t="shared" si="1"/>
        <v>770</v>
      </c>
      <c r="L19" s="19">
        <f t="shared" si="2"/>
        <v>0.81168831168831168</v>
      </c>
      <c r="M19" s="2" t="str">
        <f t="shared" si="3"/>
        <v>Sangat Kuat</v>
      </c>
    </row>
    <row r="20" spans="1:13" ht="15.5" x14ac:dyDescent="0.35">
      <c r="A20" s="12" t="s">
        <v>70</v>
      </c>
      <c r="B20" s="12"/>
      <c r="C20" s="12"/>
      <c r="D20" s="12"/>
      <c r="E20" s="12"/>
      <c r="F20" s="12"/>
      <c r="G20" s="12"/>
      <c r="H20" s="12"/>
      <c r="I20" s="12"/>
      <c r="J20" s="12">
        <f>SUM(J14:J19)</f>
        <v>3760</v>
      </c>
      <c r="K20" s="12"/>
      <c r="L20" s="12" t="str">
        <f>IF(J21&gt;0.8,"Sangat Kuat",IF(J21&gt;0.7,"Kuat",IF(J21&gt;0.6,"Cukup Kuat",0)))</f>
        <v>Sangat Kuat</v>
      </c>
      <c r="M20" s="12"/>
    </row>
    <row r="21" spans="1:13" ht="15.5" x14ac:dyDescent="0.35">
      <c r="A21" s="12" t="s">
        <v>71</v>
      </c>
      <c r="B21" s="12"/>
      <c r="C21" s="12"/>
      <c r="D21" s="12"/>
      <c r="E21" s="12"/>
      <c r="F21" s="12"/>
      <c r="G21" s="12"/>
      <c r="H21" s="12"/>
      <c r="I21" s="12"/>
      <c r="J21" s="18">
        <f>J20/SUM(K14:K19)</f>
        <v>0.81385281385281383</v>
      </c>
      <c r="K21" s="18"/>
      <c r="L21" s="12"/>
      <c r="M21" s="12"/>
    </row>
    <row r="22" spans="1:13" ht="15.5" x14ac:dyDescent="0.35">
      <c r="A22" s="29"/>
      <c r="B22" s="30"/>
      <c r="C22" s="31"/>
      <c r="D22" s="29"/>
      <c r="E22" s="29"/>
      <c r="F22" s="29"/>
      <c r="G22" s="29"/>
      <c r="H22" s="29"/>
      <c r="I22" s="29"/>
      <c r="J22" s="30"/>
      <c r="K22" s="30"/>
      <c r="L22" s="32"/>
      <c r="M22" s="31"/>
    </row>
    <row r="23" spans="1:13" ht="15.5" x14ac:dyDescent="0.35">
      <c r="A23" s="28" t="s">
        <v>27</v>
      </c>
      <c r="B23" s="28" t="s">
        <v>38</v>
      </c>
      <c r="C23" s="28" t="s">
        <v>2</v>
      </c>
      <c r="D23" s="28" t="s">
        <v>39</v>
      </c>
      <c r="E23" s="28" t="s">
        <v>40</v>
      </c>
      <c r="F23" s="28"/>
      <c r="G23" s="28"/>
      <c r="H23" s="28"/>
      <c r="I23" s="28"/>
      <c r="J23" s="22" t="s">
        <v>41</v>
      </c>
      <c r="K23" s="22" t="s">
        <v>42</v>
      </c>
      <c r="L23" s="28" t="s">
        <v>43</v>
      </c>
      <c r="M23" s="28" t="s">
        <v>0</v>
      </c>
    </row>
    <row r="24" spans="1:13" ht="15" x14ac:dyDescent="0.35">
      <c r="A24" s="12"/>
      <c r="B24" s="12"/>
      <c r="C24" s="12"/>
      <c r="D24" s="12"/>
      <c r="E24" s="13" t="s">
        <v>3</v>
      </c>
      <c r="F24" s="13" t="s">
        <v>4</v>
      </c>
      <c r="G24" s="13" t="s">
        <v>7</v>
      </c>
      <c r="H24" s="13" t="s">
        <v>5</v>
      </c>
      <c r="I24" s="13" t="s">
        <v>6</v>
      </c>
      <c r="J24" s="16"/>
      <c r="K24" s="16"/>
      <c r="L24" s="12"/>
      <c r="M24" s="12"/>
    </row>
    <row r="25" spans="1:13" ht="77.5" x14ac:dyDescent="0.35">
      <c r="A25" s="14" t="s">
        <v>33</v>
      </c>
      <c r="B25" s="6">
        <v>31</v>
      </c>
      <c r="C25" s="16" t="s">
        <v>108</v>
      </c>
      <c r="D25" s="17" t="s">
        <v>84</v>
      </c>
      <c r="E25" s="17">
        <v>0</v>
      </c>
      <c r="F25" s="17">
        <v>0</v>
      </c>
      <c r="G25" s="17">
        <v>23</v>
      </c>
      <c r="H25" s="17">
        <v>69</v>
      </c>
      <c r="I25" s="17">
        <v>62</v>
      </c>
      <c r="J25" s="6">
        <f t="shared" si="0"/>
        <v>655</v>
      </c>
      <c r="K25" s="6">
        <f t="shared" si="1"/>
        <v>770</v>
      </c>
      <c r="L25" s="19">
        <f t="shared" si="2"/>
        <v>0.85064935064935066</v>
      </c>
      <c r="M25" s="2" t="str">
        <f t="shared" si="3"/>
        <v>Sangat Kuat</v>
      </c>
    </row>
    <row r="26" spans="1:13" ht="77.5" x14ac:dyDescent="0.35">
      <c r="A26" s="14"/>
      <c r="B26" s="6">
        <v>32</v>
      </c>
      <c r="C26" s="16"/>
      <c r="D26" s="17" t="s">
        <v>85</v>
      </c>
      <c r="E26" s="17">
        <v>2</v>
      </c>
      <c r="F26" s="17">
        <v>1</v>
      </c>
      <c r="G26" s="17">
        <v>37</v>
      </c>
      <c r="H26" s="17">
        <v>74</v>
      </c>
      <c r="I26" s="17">
        <v>40</v>
      </c>
      <c r="J26" s="6">
        <f t="shared" si="0"/>
        <v>611</v>
      </c>
      <c r="K26" s="6">
        <f t="shared" si="1"/>
        <v>770</v>
      </c>
      <c r="L26" s="19">
        <f t="shared" si="2"/>
        <v>0.79350649350649349</v>
      </c>
      <c r="M26" s="2" t="str">
        <f t="shared" si="3"/>
        <v>Kuat</v>
      </c>
    </row>
    <row r="27" spans="1:13" ht="62" x14ac:dyDescent="0.35">
      <c r="A27" s="14"/>
      <c r="B27" s="6">
        <v>33</v>
      </c>
      <c r="C27" s="16" t="s">
        <v>109</v>
      </c>
      <c r="D27" s="17" t="s">
        <v>86</v>
      </c>
      <c r="E27" s="17">
        <v>1</v>
      </c>
      <c r="F27" s="17">
        <v>3</v>
      </c>
      <c r="G27" s="17">
        <v>38</v>
      </c>
      <c r="H27" s="17">
        <v>74</v>
      </c>
      <c r="I27" s="17">
        <v>38</v>
      </c>
      <c r="J27" s="6">
        <f t="shared" si="0"/>
        <v>607</v>
      </c>
      <c r="K27" s="6">
        <f t="shared" si="1"/>
        <v>770</v>
      </c>
      <c r="L27" s="19">
        <f t="shared" si="2"/>
        <v>0.7883116883116883</v>
      </c>
      <c r="M27" s="2" t="str">
        <f t="shared" si="3"/>
        <v>Kuat</v>
      </c>
    </row>
    <row r="28" spans="1:13" ht="93" x14ac:dyDescent="0.35">
      <c r="A28" s="14"/>
      <c r="B28" s="6">
        <v>34</v>
      </c>
      <c r="C28" s="16"/>
      <c r="D28" s="17" t="s">
        <v>87</v>
      </c>
      <c r="E28" s="17">
        <v>0</v>
      </c>
      <c r="F28" s="17">
        <v>2</v>
      </c>
      <c r="G28" s="17">
        <v>35</v>
      </c>
      <c r="H28" s="17">
        <v>76</v>
      </c>
      <c r="I28" s="17">
        <v>41</v>
      </c>
      <c r="J28" s="6">
        <f t="shared" si="0"/>
        <v>618</v>
      </c>
      <c r="K28" s="6">
        <f t="shared" si="1"/>
        <v>770</v>
      </c>
      <c r="L28" s="19">
        <f t="shared" si="2"/>
        <v>0.80259740259740264</v>
      </c>
      <c r="M28" s="2" t="str">
        <f t="shared" si="3"/>
        <v>Sangat Kuat</v>
      </c>
    </row>
    <row r="29" spans="1:13" ht="108.5" x14ac:dyDescent="0.35">
      <c r="A29" s="14"/>
      <c r="B29" s="6">
        <v>35</v>
      </c>
      <c r="C29" s="16" t="s">
        <v>110</v>
      </c>
      <c r="D29" s="17" t="s">
        <v>88</v>
      </c>
      <c r="E29" s="17">
        <v>1</v>
      </c>
      <c r="F29" s="17">
        <v>2</v>
      </c>
      <c r="G29" s="17">
        <v>32</v>
      </c>
      <c r="H29" s="17">
        <v>80</v>
      </c>
      <c r="I29" s="17">
        <v>39</v>
      </c>
      <c r="J29" s="6">
        <f t="shared" si="0"/>
        <v>616</v>
      </c>
      <c r="K29" s="6">
        <f t="shared" si="1"/>
        <v>770</v>
      </c>
      <c r="L29" s="19">
        <f t="shared" si="2"/>
        <v>0.8</v>
      </c>
      <c r="M29" s="2" t="str">
        <f t="shared" si="3"/>
        <v>Kuat</v>
      </c>
    </row>
    <row r="30" spans="1:13" ht="93" x14ac:dyDescent="0.35">
      <c r="A30" s="14"/>
      <c r="B30" s="6">
        <v>36</v>
      </c>
      <c r="C30" s="16"/>
      <c r="D30" s="17" t="s">
        <v>89</v>
      </c>
      <c r="E30" s="17">
        <v>1</v>
      </c>
      <c r="F30" s="17">
        <v>2</v>
      </c>
      <c r="G30" s="17">
        <v>26</v>
      </c>
      <c r="H30" s="17">
        <v>80</v>
      </c>
      <c r="I30" s="17">
        <v>45</v>
      </c>
      <c r="J30" s="6">
        <f t="shared" si="0"/>
        <v>628</v>
      </c>
      <c r="K30" s="6">
        <f t="shared" si="1"/>
        <v>770</v>
      </c>
      <c r="L30" s="19">
        <f t="shared" si="2"/>
        <v>0.81558441558441563</v>
      </c>
      <c r="M30" s="2" t="str">
        <f>IF(L30&gt;0.8,"Sangat Kuat",IF(L30&gt;0.7,"Kuat",IF(L30&gt;0.6,"Cukup Kuat",0)))</f>
        <v>Sangat Kuat</v>
      </c>
    </row>
    <row r="31" spans="1:13" ht="15.5" x14ac:dyDescent="0.35">
      <c r="A31" s="12" t="s">
        <v>70</v>
      </c>
      <c r="B31" s="12"/>
      <c r="C31" s="12"/>
      <c r="D31" s="12"/>
      <c r="E31" s="12"/>
      <c r="F31" s="12"/>
      <c r="G31" s="12"/>
      <c r="H31" s="12"/>
      <c r="I31" s="12"/>
      <c r="J31" s="12">
        <f>SUM(J25:J30)</f>
        <v>3735</v>
      </c>
      <c r="K31" s="12"/>
      <c r="L31" s="12" t="str">
        <f>IF(J32&gt;0.8,"Sangat Kuat",IF(J32&gt;0.7,"Kuat",IF(J32&gt;0.6,"Cukup Kuat",0)))</f>
        <v>Sangat Kuat</v>
      </c>
      <c r="M31" s="12"/>
    </row>
    <row r="32" spans="1:13" ht="15.5" x14ac:dyDescent="0.35">
      <c r="A32" s="12" t="s">
        <v>71</v>
      </c>
      <c r="B32" s="12"/>
      <c r="C32" s="12"/>
      <c r="D32" s="12"/>
      <c r="E32" s="12"/>
      <c r="F32" s="12"/>
      <c r="G32" s="12"/>
      <c r="H32" s="12"/>
      <c r="I32" s="12"/>
      <c r="J32" s="18">
        <f>J31/SUM(K25:K30)</f>
        <v>0.80844155844155841</v>
      </c>
      <c r="K32" s="18"/>
      <c r="L32" s="12"/>
      <c r="M32" s="12"/>
    </row>
    <row r="35" spans="1:5" ht="15.5" x14ac:dyDescent="0.35">
      <c r="A35" s="34" t="s">
        <v>115</v>
      </c>
      <c r="B35" s="34" t="s">
        <v>27</v>
      </c>
      <c r="C35" s="34" t="s">
        <v>116</v>
      </c>
      <c r="D35" s="34" t="s">
        <v>117</v>
      </c>
      <c r="E35" s="34" t="s">
        <v>0</v>
      </c>
    </row>
    <row r="36" spans="1:5" ht="15.5" x14ac:dyDescent="0.35">
      <c r="A36" s="6">
        <v>4</v>
      </c>
      <c r="B36" s="34" t="s">
        <v>31</v>
      </c>
      <c r="C36" s="6">
        <v>3788</v>
      </c>
      <c r="D36" s="6">
        <v>0.81989999999999996</v>
      </c>
      <c r="E36" s="6" t="str">
        <f>IF(D36&gt;0.8,"Sangat Kuat",IF(D36&gt;0.7,"Kuat",IF(D36&gt;0.6,"Cukup Kuat",0)))</f>
        <v>Sangat Kuat</v>
      </c>
    </row>
    <row r="37" spans="1:5" ht="15.5" x14ac:dyDescent="0.35">
      <c r="A37" s="6">
        <v>5</v>
      </c>
      <c r="B37" s="34" t="s">
        <v>32</v>
      </c>
      <c r="C37" s="6">
        <v>3760</v>
      </c>
      <c r="D37" s="6">
        <v>0.81389999999999996</v>
      </c>
      <c r="E37" s="6" t="str">
        <f>IF(D37&gt;0.8,"Sangat Kuat",IF(D37&gt;0.7,"Kuat",IF(D37&gt;0.6,"Cukup Kuat",0)))</f>
        <v>Sangat Kuat</v>
      </c>
    </row>
    <row r="38" spans="1:5" ht="15.5" x14ac:dyDescent="0.35">
      <c r="A38" s="6">
        <v>6</v>
      </c>
      <c r="B38" s="34" t="s">
        <v>33</v>
      </c>
      <c r="C38" s="6">
        <v>3735</v>
      </c>
      <c r="D38" s="6">
        <v>0.80840000000000001</v>
      </c>
      <c r="E38" s="6" t="str">
        <f>IF(D38&gt;0.8,"Sangat Kuat",IF(D38&gt;0.7,"Kuat",IF(D38&gt;0.6,"Cukup Kuat",0)))</f>
        <v>Sangat Kuat</v>
      </c>
    </row>
    <row r="39" spans="1:5" ht="15.5" x14ac:dyDescent="0.35">
      <c r="A39" s="35" t="s">
        <v>1</v>
      </c>
      <c r="B39" s="36"/>
      <c r="C39" s="6">
        <f>SUM(C36:C38)</f>
        <v>11283</v>
      </c>
      <c r="D39" s="6">
        <f>AVERAGE(D36:D38)</f>
        <v>0.81406666666666661</v>
      </c>
      <c r="E39" s="6" t="str">
        <f>IF(D39&gt;0.8,"Sangat Kuat",IF(D39&gt;0.7,"Kuat",IF(D39&gt;0.6,"Cukup Kuat",0)))</f>
        <v>Sangat Kuat</v>
      </c>
    </row>
  </sheetData>
  <mergeCells count="55">
    <mergeCell ref="L20:M21"/>
    <mergeCell ref="A21:I21"/>
    <mergeCell ref="J21:K21"/>
    <mergeCell ref="A39:B39"/>
    <mergeCell ref="K23:K24"/>
    <mergeCell ref="L23:L24"/>
    <mergeCell ref="M23:M24"/>
    <mergeCell ref="A9:I9"/>
    <mergeCell ref="J9:K9"/>
    <mergeCell ref="L9:M10"/>
    <mergeCell ref="A10:I10"/>
    <mergeCell ref="J10:K10"/>
    <mergeCell ref="A20:I20"/>
    <mergeCell ref="J20:K20"/>
    <mergeCell ref="J12:J13"/>
    <mergeCell ref="K12:K13"/>
    <mergeCell ref="L12:L13"/>
    <mergeCell ref="M12:M13"/>
    <mergeCell ref="A23:A24"/>
    <mergeCell ref="B23:B24"/>
    <mergeCell ref="C23:C24"/>
    <mergeCell ref="D23:D24"/>
    <mergeCell ref="E23:I23"/>
    <mergeCell ref="J23:J24"/>
    <mergeCell ref="A31:I31"/>
    <mergeCell ref="J31:K31"/>
    <mergeCell ref="L31:M32"/>
    <mergeCell ref="A32:I32"/>
    <mergeCell ref="J32:K32"/>
    <mergeCell ref="A12:A13"/>
    <mergeCell ref="B12:B13"/>
    <mergeCell ref="C12:C13"/>
    <mergeCell ref="D12:D13"/>
    <mergeCell ref="E12:I12"/>
    <mergeCell ref="A14:A19"/>
    <mergeCell ref="C14:C15"/>
    <mergeCell ref="C16:C17"/>
    <mergeCell ref="C18:C19"/>
    <mergeCell ref="A25:A30"/>
    <mergeCell ref="C25:C26"/>
    <mergeCell ref="C27:C28"/>
    <mergeCell ref="C29:C30"/>
    <mergeCell ref="D1:D2"/>
    <mergeCell ref="E1:I1"/>
    <mergeCell ref="J1:J2"/>
    <mergeCell ref="K1:K2"/>
    <mergeCell ref="L1:L2"/>
    <mergeCell ref="M1:M2"/>
    <mergeCell ref="A1:A2"/>
    <mergeCell ref="B1:B2"/>
    <mergeCell ref="C1:C2"/>
    <mergeCell ref="A3:A8"/>
    <mergeCell ref="C3:C4"/>
    <mergeCell ref="C5:C6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E7B9-A808-4CBB-A056-EB616D1FCFA9}">
  <dimension ref="A1:M40"/>
  <sheetViews>
    <sheetView topLeftCell="A31" zoomScale="89" workbookViewId="0">
      <selection activeCell="A35" sqref="A35:E40"/>
    </sheetView>
  </sheetViews>
  <sheetFormatPr defaultRowHeight="14.5" x14ac:dyDescent="0.35"/>
  <cols>
    <col min="1" max="1" width="9.7265625" customWidth="1"/>
    <col min="2" max="2" width="33.36328125" bestFit="1" customWidth="1"/>
    <col min="3" max="3" width="9" bestFit="1" customWidth="1"/>
    <col min="4" max="4" width="13" customWidth="1"/>
    <col min="5" max="5" width="11.453125" bestFit="1" customWidth="1"/>
    <col min="6" max="6" width="6.81640625" bestFit="1" customWidth="1"/>
    <col min="7" max="7" width="7.1796875" bestFit="1" customWidth="1"/>
    <col min="8" max="8" width="5.54296875" bestFit="1" customWidth="1"/>
    <col min="9" max="9" width="6.81640625" bestFit="1" customWidth="1"/>
    <col min="10" max="10" width="6.81640625" customWidth="1"/>
    <col min="11" max="11" width="7.08984375" customWidth="1"/>
    <col min="12" max="12" width="9.6328125" bestFit="1" customWidth="1"/>
    <col min="13" max="13" width="7.7265625" customWidth="1"/>
  </cols>
  <sheetData>
    <row r="1" spans="1:13" ht="15.5" x14ac:dyDescent="0.35">
      <c r="A1" s="12" t="s">
        <v>27</v>
      </c>
      <c r="B1" s="12" t="s">
        <v>38</v>
      </c>
      <c r="C1" s="12" t="s">
        <v>2</v>
      </c>
      <c r="D1" s="12" t="s">
        <v>39</v>
      </c>
      <c r="E1" s="12" t="s">
        <v>40</v>
      </c>
      <c r="F1" s="12"/>
      <c r="G1" s="12"/>
      <c r="H1" s="12"/>
      <c r="I1" s="12"/>
      <c r="J1" s="16" t="s">
        <v>41</v>
      </c>
      <c r="K1" s="16" t="s">
        <v>42</v>
      </c>
      <c r="L1" s="12" t="s">
        <v>43</v>
      </c>
      <c r="M1" s="12" t="s">
        <v>0</v>
      </c>
    </row>
    <row r="2" spans="1:13" ht="15" x14ac:dyDescent="0.35">
      <c r="A2" s="12"/>
      <c r="B2" s="12"/>
      <c r="C2" s="12"/>
      <c r="D2" s="12"/>
      <c r="E2" s="13" t="s">
        <v>3</v>
      </c>
      <c r="F2" s="13" t="s">
        <v>4</v>
      </c>
      <c r="G2" s="13" t="s">
        <v>7</v>
      </c>
      <c r="H2" s="13" t="s">
        <v>5</v>
      </c>
      <c r="I2" s="13" t="s">
        <v>6</v>
      </c>
      <c r="J2" s="16"/>
      <c r="K2" s="16"/>
      <c r="L2" s="12"/>
      <c r="M2" s="12"/>
    </row>
    <row r="3" spans="1:13" ht="124" x14ac:dyDescent="0.35">
      <c r="A3" s="14" t="s">
        <v>34</v>
      </c>
      <c r="B3" s="6">
        <v>37</v>
      </c>
      <c r="C3" s="16" t="s">
        <v>111</v>
      </c>
      <c r="D3" s="17" t="s">
        <v>90</v>
      </c>
      <c r="E3" s="17">
        <v>1</v>
      </c>
      <c r="F3" s="17">
        <v>4</v>
      </c>
      <c r="G3" s="17">
        <v>39</v>
      </c>
      <c r="H3" s="17">
        <v>66</v>
      </c>
      <c r="I3" s="17">
        <v>44</v>
      </c>
      <c r="J3" s="6">
        <f>SUM(E3*1,F3*2,G3*3,H3*4,I3*5)</f>
        <v>610</v>
      </c>
      <c r="K3" s="6">
        <f>5*154</f>
        <v>770</v>
      </c>
      <c r="L3" s="19">
        <f>J3/K3</f>
        <v>0.79220779220779225</v>
      </c>
      <c r="M3" s="2" t="str">
        <f>IF(L3&gt;0.8,"Sangat Kuat",IF(L3&gt;0.7,"Kuat",IF(L3&gt;0.6,"Cukup Kuat",0)))</f>
        <v>Kuat</v>
      </c>
    </row>
    <row r="4" spans="1:13" ht="124" x14ac:dyDescent="0.35">
      <c r="A4" s="14"/>
      <c r="B4" s="6">
        <v>38</v>
      </c>
      <c r="C4" s="16"/>
      <c r="D4" s="17" t="s">
        <v>91</v>
      </c>
      <c r="E4" s="17">
        <v>1</v>
      </c>
      <c r="F4" s="17">
        <v>3</v>
      </c>
      <c r="G4" s="17">
        <v>30</v>
      </c>
      <c r="H4" s="17">
        <v>68</v>
      </c>
      <c r="I4" s="17">
        <v>52</v>
      </c>
      <c r="J4" s="6">
        <f t="shared" ref="J4:J30" si="0">SUM(E4*1,F4*2,G4*3,H4*4,I4*5)</f>
        <v>629</v>
      </c>
      <c r="K4" s="6">
        <f t="shared" ref="K4:K30" si="1">5*154</f>
        <v>770</v>
      </c>
      <c r="L4" s="19">
        <f t="shared" ref="L4:L30" si="2">J4/K4</f>
        <v>0.81688311688311688</v>
      </c>
      <c r="M4" s="2" t="str">
        <f t="shared" ref="M4:M30" si="3">IF(L4&gt;0.8,"Sangat Kuat",IF(L4&gt;0.7,"Kuat",IF(L4&gt;0.6,"Cukup Kuat",0)))</f>
        <v>Sangat Kuat</v>
      </c>
    </row>
    <row r="5" spans="1:13" ht="139.5" x14ac:dyDescent="0.35">
      <c r="A5" s="14"/>
      <c r="B5" s="6">
        <v>39</v>
      </c>
      <c r="C5" s="16"/>
      <c r="D5" s="17" t="s">
        <v>92</v>
      </c>
      <c r="E5" s="17">
        <v>1</v>
      </c>
      <c r="F5" s="17">
        <v>1</v>
      </c>
      <c r="G5" s="17">
        <v>19</v>
      </c>
      <c r="H5" s="17">
        <v>76</v>
      </c>
      <c r="I5" s="17">
        <v>57</v>
      </c>
      <c r="J5" s="6">
        <f t="shared" si="0"/>
        <v>649</v>
      </c>
      <c r="K5" s="6">
        <f t="shared" si="1"/>
        <v>770</v>
      </c>
      <c r="L5" s="19">
        <f t="shared" si="2"/>
        <v>0.84285714285714286</v>
      </c>
      <c r="M5" s="2" t="str">
        <f t="shared" si="3"/>
        <v>Sangat Kuat</v>
      </c>
    </row>
    <row r="6" spans="1:13" ht="15.5" x14ac:dyDescent="0.35">
      <c r="A6" s="12" t="s">
        <v>70</v>
      </c>
      <c r="B6" s="12"/>
      <c r="C6" s="12"/>
      <c r="D6" s="12"/>
      <c r="E6" s="12"/>
      <c r="F6" s="12"/>
      <c r="G6" s="12"/>
      <c r="H6" s="12"/>
      <c r="I6" s="12"/>
      <c r="J6" s="12">
        <f>SUM(J3:J5)</f>
        <v>1888</v>
      </c>
      <c r="K6" s="12"/>
      <c r="L6" s="12" t="str">
        <f>IF(J7&gt;0.8,"Sangat Kuat",IF(J7&gt;0.7,"Kuat",IF(J7&gt;0.6,"Cukup Kuat",0)))</f>
        <v>Sangat Kuat</v>
      </c>
      <c r="M6" s="12"/>
    </row>
    <row r="7" spans="1:13" ht="15.5" x14ac:dyDescent="0.35">
      <c r="A7" s="12" t="s">
        <v>71</v>
      </c>
      <c r="B7" s="12"/>
      <c r="C7" s="12"/>
      <c r="D7" s="12"/>
      <c r="E7" s="12"/>
      <c r="F7" s="12"/>
      <c r="G7" s="12"/>
      <c r="H7" s="12"/>
      <c r="I7" s="12"/>
      <c r="J7" s="18">
        <f>J6/SUM(K3:K5)</f>
        <v>0.81731601731601733</v>
      </c>
      <c r="K7" s="18"/>
      <c r="L7" s="12"/>
      <c r="M7" s="12"/>
    </row>
    <row r="8" spans="1:13" ht="15.5" x14ac:dyDescent="0.35">
      <c r="A8" s="29"/>
      <c r="B8" s="30"/>
      <c r="C8" s="31"/>
      <c r="D8" s="29"/>
      <c r="E8" s="29"/>
      <c r="F8" s="29"/>
      <c r="G8" s="29"/>
      <c r="H8" s="29"/>
      <c r="I8" s="29"/>
      <c r="J8" s="30"/>
      <c r="K8" s="30"/>
      <c r="L8" s="32"/>
      <c r="M8" s="31"/>
    </row>
    <row r="9" spans="1:13" ht="15.5" x14ac:dyDescent="0.35">
      <c r="A9" s="28" t="s">
        <v>27</v>
      </c>
      <c r="B9" s="28" t="s">
        <v>38</v>
      </c>
      <c r="C9" s="28" t="s">
        <v>2</v>
      </c>
      <c r="D9" s="28" t="s">
        <v>39</v>
      </c>
      <c r="E9" s="28" t="s">
        <v>40</v>
      </c>
      <c r="F9" s="28"/>
      <c r="G9" s="28"/>
      <c r="H9" s="28"/>
      <c r="I9" s="28"/>
      <c r="J9" s="22" t="s">
        <v>41</v>
      </c>
      <c r="K9" s="22" t="s">
        <v>42</v>
      </c>
      <c r="L9" s="28" t="s">
        <v>43</v>
      </c>
      <c r="M9" s="28" t="s">
        <v>0</v>
      </c>
    </row>
    <row r="10" spans="1:13" ht="15" x14ac:dyDescent="0.35">
      <c r="A10" s="12"/>
      <c r="B10" s="12"/>
      <c r="C10" s="12"/>
      <c r="D10" s="12"/>
      <c r="E10" s="13" t="s">
        <v>3</v>
      </c>
      <c r="F10" s="13" t="s">
        <v>4</v>
      </c>
      <c r="G10" s="13" t="s">
        <v>7</v>
      </c>
      <c r="H10" s="13" t="s">
        <v>5</v>
      </c>
      <c r="I10" s="13" t="s">
        <v>6</v>
      </c>
      <c r="J10" s="16"/>
      <c r="K10" s="16"/>
      <c r="L10" s="12"/>
      <c r="M10" s="12"/>
    </row>
    <row r="11" spans="1:13" ht="77.5" x14ac:dyDescent="0.35">
      <c r="A11" s="14" t="s">
        <v>35</v>
      </c>
      <c r="B11" s="6">
        <v>40</v>
      </c>
      <c r="C11" s="16" t="s">
        <v>112</v>
      </c>
      <c r="D11" s="17" t="s">
        <v>93</v>
      </c>
      <c r="E11" s="17">
        <v>2</v>
      </c>
      <c r="F11" s="17">
        <v>7</v>
      </c>
      <c r="G11" s="17">
        <v>38</v>
      </c>
      <c r="H11" s="17">
        <v>70</v>
      </c>
      <c r="I11" s="17">
        <v>37</v>
      </c>
      <c r="J11" s="6">
        <f t="shared" si="0"/>
        <v>595</v>
      </c>
      <c r="K11" s="6">
        <f t="shared" si="1"/>
        <v>770</v>
      </c>
      <c r="L11" s="19">
        <f t="shared" si="2"/>
        <v>0.77272727272727271</v>
      </c>
      <c r="M11" s="2" t="str">
        <f t="shared" si="3"/>
        <v>Kuat</v>
      </c>
    </row>
    <row r="12" spans="1:13" ht="139.5" x14ac:dyDescent="0.35">
      <c r="A12" s="14"/>
      <c r="B12" s="6">
        <v>41</v>
      </c>
      <c r="C12" s="16"/>
      <c r="D12" s="17" t="s">
        <v>94</v>
      </c>
      <c r="E12" s="17">
        <v>4</v>
      </c>
      <c r="F12" s="17">
        <v>16</v>
      </c>
      <c r="G12" s="17">
        <v>41</v>
      </c>
      <c r="H12" s="17">
        <v>57</v>
      </c>
      <c r="I12" s="17">
        <v>36</v>
      </c>
      <c r="J12" s="6">
        <f t="shared" si="0"/>
        <v>567</v>
      </c>
      <c r="K12" s="6">
        <f t="shared" si="1"/>
        <v>770</v>
      </c>
      <c r="L12" s="19">
        <f t="shared" si="2"/>
        <v>0.73636363636363633</v>
      </c>
      <c r="M12" s="2" t="str">
        <f t="shared" si="3"/>
        <v>Kuat</v>
      </c>
    </row>
    <row r="13" spans="1:13" ht="372" x14ac:dyDescent="0.35">
      <c r="A13" s="14"/>
      <c r="B13" s="6">
        <v>42</v>
      </c>
      <c r="C13" s="16"/>
      <c r="D13" s="17" t="s">
        <v>95</v>
      </c>
      <c r="E13" s="17">
        <v>3</v>
      </c>
      <c r="F13" s="17">
        <v>9</v>
      </c>
      <c r="G13" s="17">
        <v>45</v>
      </c>
      <c r="H13" s="17">
        <v>65</v>
      </c>
      <c r="I13" s="17">
        <v>32</v>
      </c>
      <c r="J13" s="6">
        <f t="shared" si="0"/>
        <v>576</v>
      </c>
      <c r="K13" s="6">
        <f t="shared" si="1"/>
        <v>770</v>
      </c>
      <c r="L13" s="19">
        <f t="shared" si="2"/>
        <v>0.74805194805194808</v>
      </c>
      <c r="M13" s="2" t="str">
        <f t="shared" si="3"/>
        <v>Kuat</v>
      </c>
    </row>
    <row r="14" spans="1:13" ht="15.5" x14ac:dyDescent="0.35">
      <c r="A14" s="12" t="s">
        <v>70</v>
      </c>
      <c r="B14" s="12"/>
      <c r="C14" s="12"/>
      <c r="D14" s="12"/>
      <c r="E14" s="12"/>
      <c r="F14" s="12"/>
      <c r="G14" s="12"/>
      <c r="H14" s="12"/>
      <c r="I14" s="12"/>
      <c r="J14" s="12">
        <f>SUM(J11:J13)</f>
        <v>1738</v>
      </c>
      <c r="K14" s="12"/>
      <c r="L14" s="12" t="str">
        <f>IF(J15&gt;0.8,"Sangat Kuat",IF(J15&gt;0.7,"Kuat",IF(J15&gt;0.6,"Cukup Kuat",0)))</f>
        <v>Kuat</v>
      </c>
      <c r="M14" s="12"/>
    </row>
    <row r="15" spans="1:13" ht="15.5" x14ac:dyDescent="0.35">
      <c r="A15" s="12" t="s">
        <v>71</v>
      </c>
      <c r="B15" s="12"/>
      <c r="C15" s="12"/>
      <c r="D15" s="12"/>
      <c r="E15" s="12"/>
      <c r="F15" s="12"/>
      <c r="G15" s="12"/>
      <c r="H15" s="12"/>
      <c r="I15" s="12"/>
      <c r="J15" s="18">
        <f>J14/SUM(K11:K13)</f>
        <v>0.75238095238095237</v>
      </c>
      <c r="K15" s="18"/>
      <c r="L15" s="12"/>
      <c r="M15" s="12"/>
    </row>
    <row r="16" spans="1:13" ht="15.5" x14ac:dyDescent="0.35">
      <c r="A16" s="29"/>
      <c r="B16" s="30"/>
      <c r="C16" s="31"/>
      <c r="D16" s="29"/>
      <c r="E16" s="29"/>
      <c r="F16" s="29"/>
      <c r="G16" s="29"/>
      <c r="H16" s="29"/>
      <c r="I16" s="29"/>
      <c r="J16" s="30"/>
      <c r="K16" s="30"/>
      <c r="L16" s="32"/>
      <c r="M16" s="31"/>
    </row>
    <row r="17" spans="1:13" ht="15.5" x14ac:dyDescent="0.35">
      <c r="A17" s="28" t="s">
        <v>27</v>
      </c>
      <c r="B17" s="28" t="s">
        <v>38</v>
      </c>
      <c r="C17" s="28" t="s">
        <v>2</v>
      </c>
      <c r="D17" s="28" t="s">
        <v>39</v>
      </c>
      <c r="E17" s="28" t="s">
        <v>40</v>
      </c>
      <c r="F17" s="28"/>
      <c r="G17" s="28"/>
      <c r="H17" s="28"/>
      <c r="I17" s="28"/>
      <c r="J17" s="22" t="s">
        <v>41</v>
      </c>
      <c r="K17" s="22" t="s">
        <v>42</v>
      </c>
      <c r="L17" s="28" t="s">
        <v>43</v>
      </c>
      <c r="M17" s="28" t="s">
        <v>0</v>
      </c>
    </row>
    <row r="18" spans="1:13" ht="15" x14ac:dyDescent="0.35">
      <c r="A18" s="12"/>
      <c r="B18" s="12"/>
      <c r="C18" s="12"/>
      <c r="D18" s="12"/>
      <c r="E18" s="13" t="s">
        <v>3</v>
      </c>
      <c r="F18" s="13" t="s">
        <v>4</v>
      </c>
      <c r="G18" s="13" t="s">
        <v>7</v>
      </c>
      <c r="H18" s="13" t="s">
        <v>5</v>
      </c>
      <c r="I18" s="13" t="s">
        <v>6</v>
      </c>
      <c r="J18" s="16"/>
      <c r="K18" s="16"/>
      <c r="L18" s="12"/>
      <c r="M18" s="12"/>
    </row>
    <row r="19" spans="1:13" ht="45.5" customHeight="1" x14ac:dyDescent="0.35">
      <c r="A19" s="14" t="s">
        <v>36</v>
      </c>
      <c r="B19" s="6">
        <v>43</v>
      </c>
      <c r="C19" s="16" t="s">
        <v>113</v>
      </c>
      <c r="D19" s="17" t="s">
        <v>96</v>
      </c>
      <c r="E19" s="17">
        <v>4</v>
      </c>
      <c r="F19" s="17">
        <v>10</v>
      </c>
      <c r="G19" s="17">
        <v>61</v>
      </c>
      <c r="H19" s="17">
        <v>53</v>
      </c>
      <c r="I19" s="17">
        <v>26</v>
      </c>
      <c r="J19" s="6">
        <f t="shared" si="0"/>
        <v>549</v>
      </c>
      <c r="K19" s="6">
        <f t="shared" si="1"/>
        <v>770</v>
      </c>
      <c r="L19" s="19">
        <f t="shared" si="2"/>
        <v>0.71298701298701295</v>
      </c>
      <c r="M19" s="2" t="str">
        <f t="shared" si="3"/>
        <v>Kuat</v>
      </c>
    </row>
    <row r="20" spans="1:13" ht="201.5" x14ac:dyDescent="0.35">
      <c r="A20" s="14"/>
      <c r="B20" s="6">
        <v>44</v>
      </c>
      <c r="C20" s="16"/>
      <c r="D20" s="17" t="s">
        <v>97</v>
      </c>
      <c r="E20" s="17">
        <v>6</v>
      </c>
      <c r="F20" s="17">
        <v>20</v>
      </c>
      <c r="G20" s="17">
        <v>45</v>
      </c>
      <c r="H20" s="17">
        <v>56</v>
      </c>
      <c r="I20" s="17">
        <v>27</v>
      </c>
      <c r="J20" s="6">
        <f t="shared" si="0"/>
        <v>540</v>
      </c>
      <c r="K20" s="6">
        <f t="shared" si="1"/>
        <v>770</v>
      </c>
      <c r="L20" s="19">
        <f t="shared" si="2"/>
        <v>0.70129870129870131</v>
      </c>
      <c r="M20" s="2" t="str">
        <f t="shared" si="3"/>
        <v>Kuat</v>
      </c>
    </row>
    <row r="21" spans="1:13" ht="186" x14ac:dyDescent="0.35">
      <c r="A21" s="14"/>
      <c r="B21" s="6">
        <v>45</v>
      </c>
      <c r="C21" s="16"/>
      <c r="D21" s="17" t="s">
        <v>98</v>
      </c>
      <c r="E21" s="17">
        <v>0</v>
      </c>
      <c r="F21" s="17">
        <v>6</v>
      </c>
      <c r="G21" s="17">
        <v>21</v>
      </c>
      <c r="H21" s="17">
        <v>65</v>
      </c>
      <c r="I21" s="17">
        <v>62</v>
      </c>
      <c r="J21" s="6">
        <f t="shared" si="0"/>
        <v>645</v>
      </c>
      <c r="K21" s="6">
        <f t="shared" si="1"/>
        <v>770</v>
      </c>
      <c r="L21" s="19">
        <f t="shared" si="2"/>
        <v>0.83766233766233766</v>
      </c>
      <c r="M21" s="2" t="str">
        <f t="shared" si="3"/>
        <v>Sangat Kuat</v>
      </c>
    </row>
    <row r="22" spans="1:13" ht="15.5" x14ac:dyDescent="0.35">
      <c r="A22" s="12" t="s">
        <v>70</v>
      </c>
      <c r="B22" s="12"/>
      <c r="C22" s="12"/>
      <c r="D22" s="12"/>
      <c r="E22" s="12"/>
      <c r="F22" s="12"/>
      <c r="G22" s="12"/>
      <c r="H22" s="12"/>
      <c r="I22" s="12"/>
      <c r="J22" s="12">
        <f>SUM(J19:J21)</f>
        <v>1734</v>
      </c>
      <c r="K22" s="12"/>
      <c r="L22" s="12" t="str">
        <f>IF(J23&gt;0.8,"Sangat Kuat",IF(J23&gt;0.7,"Kuat",IF(J23&gt;0.6,"Cukup Kuat",0)))</f>
        <v>Kuat</v>
      </c>
      <c r="M22" s="12"/>
    </row>
    <row r="23" spans="1:13" ht="15.5" x14ac:dyDescent="0.35">
      <c r="A23" s="12" t="s">
        <v>71</v>
      </c>
      <c r="B23" s="12"/>
      <c r="C23" s="12"/>
      <c r="D23" s="12"/>
      <c r="E23" s="12"/>
      <c r="F23" s="12"/>
      <c r="G23" s="12"/>
      <c r="H23" s="12"/>
      <c r="I23" s="12"/>
      <c r="J23" s="18">
        <f>J22/SUM(K19:K21)</f>
        <v>0.75064935064935068</v>
      </c>
      <c r="K23" s="18"/>
      <c r="L23" s="12"/>
      <c r="M23" s="12"/>
    </row>
    <row r="24" spans="1:13" ht="15.5" x14ac:dyDescent="0.35">
      <c r="A24" s="29"/>
      <c r="B24" s="30"/>
      <c r="C24" s="31"/>
      <c r="D24" s="29"/>
      <c r="E24" s="29"/>
      <c r="F24" s="29"/>
      <c r="G24" s="29"/>
      <c r="H24" s="29"/>
      <c r="I24" s="29"/>
      <c r="J24" s="30"/>
      <c r="K24" s="30"/>
      <c r="L24" s="32"/>
      <c r="M24" s="31"/>
    </row>
    <row r="25" spans="1:13" ht="15.5" x14ac:dyDescent="0.35">
      <c r="A25" s="28" t="s">
        <v>27</v>
      </c>
      <c r="B25" s="28" t="s">
        <v>38</v>
      </c>
      <c r="C25" s="28" t="s">
        <v>2</v>
      </c>
      <c r="D25" s="28" t="s">
        <v>39</v>
      </c>
      <c r="E25" s="28" t="s">
        <v>40</v>
      </c>
      <c r="F25" s="28"/>
      <c r="G25" s="28"/>
      <c r="H25" s="28"/>
      <c r="I25" s="28"/>
      <c r="J25" s="22" t="s">
        <v>41</v>
      </c>
      <c r="K25" s="22" t="s">
        <v>42</v>
      </c>
      <c r="L25" s="28" t="s">
        <v>43</v>
      </c>
      <c r="M25" s="28" t="s">
        <v>0</v>
      </c>
    </row>
    <row r="26" spans="1:13" ht="15" x14ac:dyDescent="0.35">
      <c r="A26" s="12"/>
      <c r="B26" s="12"/>
      <c r="C26" s="12"/>
      <c r="D26" s="12"/>
      <c r="E26" s="13" t="s">
        <v>3</v>
      </c>
      <c r="F26" s="13" t="s">
        <v>4</v>
      </c>
      <c r="G26" s="13" t="s">
        <v>7</v>
      </c>
      <c r="H26" s="13" t="s">
        <v>5</v>
      </c>
      <c r="I26" s="13" t="s">
        <v>6</v>
      </c>
      <c r="J26" s="16"/>
      <c r="K26" s="16"/>
      <c r="L26" s="12"/>
      <c r="M26" s="12"/>
    </row>
    <row r="27" spans="1:13" ht="155" x14ac:dyDescent="0.35">
      <c r="A27" s="23" t="s">
        <v>37</v>
      </c>
      <c r="B27" s="6">
        <v>46</v>
      </c>
      <c r="C27" s="20" t="s">
        <v>114</v>
      </c>
      <c r="D27" s="17" t="s">
        <v>99</v>
      </c>
      <c r="E27" s="17">
        <v>0</v>
      </c>
      <c r="F27" s="17">
        <v>7</v>
      </c>
      <c r="G27" s="17">
        <v>18</v>
      </c>
      <c r="H27" s="17">
        <v>63</v>
      </c>
      <c r="I27" s="17">
        <v>66</v>
      </c>
      <c r="J27" s="6">
        <f t="shared" si="0"/>
        <v>650</v>
      </c>
      <c r="K27" s="6">
        <f t="shared" si="1"/>
        <v>770</v>
      </c>
      <c r="L27" s="19">
        <f t="shared" si="2"/>
        <v>0.8441558441558441</v>
      </c>
      <c r="M27" s="2" t="str">
        <f t="shared" si="3"/>
        <v>Sangat Kuat</v>
      </c>
    </row>
    <row r="28" spans="1:13" ht="201.5" x14ac:dyDescent="0.35">
      <c r="A28" s="37"/>
      <c r="B28" s="6">
        <v>47</v>
      </c>
      <c r="C28" s="21"/>
      <c r="D28" s="17" t="s">
        <v>100</v>
      </c>
      <c r="E28" s="17">
        <v>6</v>
      </c>
      <c r="F28" s="17">
        <v>9</v>
      </c>
      <c r="G28" s="17">
        <v>41</v>
      </c>
      <c r="H28" s="17">
        <v>65</v>
      </c>
      <c r="I28" s="17">
        <v>33</v>
      </c>
      <c r="J28" s="6">
        <f t="shared" si="0"/>
        <v>572</v>
      </c>
      <c r="K28" s="6">
        <f t="shared" si="1"/>
        <v>770</v>
      </c>
      <c r="L28" s="19">
        <f t="shared" si="2"/>
        <v>0.74285714285714288</v>
      </c>
      <c r="M28" s="2" t="str">
        <f t="shared" si="3"/>
        <v>Kuat</v>
      </c>
    </row>
    <row r="29" spans="1:13" ht="186" x14ac:dyDescent="0.35">
      <c r="A29" s="37"/>
      <c r="B29" s="6">
        <v>48</v>
      </c>
      <c r="C29" s="21"/>
      <c r="D29" s="17" t="s">
        <v>101</v>
      </c>
      <c r="E29" s="17">
        <v>2</v>
      </c>
      <c r="F29" s="17">
        <v>3</v>
      </c>
      <c r="G29" s="17">
        <v>20</v>
      </c>
      <c r="H29" s="17">
        <v>73</v>
      </c>
      <c r="I29" s="17">
        <v>56</v>
      </c>
      <c r="J29" s="6">
        <f t="shared" si="0"/>
        <v>640</v>
      </c>
      <c r="K29" s="6">
        <f t="shared" si="1"/>
        <v>770</v>
      </c>
      <c r="L29" s="19">
        <f t="shared" si="2"/>
        <v>0.83116883116883122</v>
      </c>
      <c r="M29" s="2" t="str">
        <f t="shared" si="3"/>
        <v>Sangat Kuat</v>
      </c>
    </row>
    <row r="30" spans="1:13" ht="139.5" x14ac:dyDescent="0.35">
      <c r="A30" s="38"/>
      <c r="B30" s="6">
        <v>49</v>
      </c>
      <c r="C30" s="22"/>
      <c r="D30" s="2" t="s">
        <v>170</v>
      </c>
      <c r="E30" s="17">
        <v>2</v>
      </c>
      <c r="F30" s="17">
        <v>3</v>
      </c>
      <c r="G30" s="17">
        <v>20</v>
      </c>
      <c r="H30" s="17">
        <v>73</v>
      </c>
      <c r="I30" s="17">
        <v>56</v>
      </c>
      <c r="J30" s="6">
        <f t="shared" si="0"/>
        <v>640</v>
      </c>
      <c r="K30" s="6">
        <f t="shared" si="1"/>
        <v>770</v>
      </c>
      <c r="L30" s="19">
        <f t="shared" si="2"/>
        <v>0.83116883116883122</v>
      </c>
      <c r="M30" s="2" t="str">
        <f t="shared" si="3"/>
        <v>Sangat Kuat</v>
      </c>
    </row>
    <row r="31" spans="1:13" ht="15.5" x14ac:dyDescent="0.35">
      <c r="A31" s="12" t="s">
        <v>70</v>
      </c>
      <c r="B31" s="12"/>
      <c r="C31" s="12"/>
      <c r="D31" s="12"/>
      <c r="E31" s="12"/>
      <c r="F31" s="12"/>
      <c r="G31" s="12"/>
      <c r="H31" s="12"/>
      <c r="I31" s="12"/>
      <c r="J31" s="12">
        <f>SUM(J27:J30)</f>
        <v>2502</v>
      </c>
      <c r="K31" s="12"/>
      <c r="L31" s="12" t="str">
        <f>IF(J32&gt;0.8,"Sangat Kuat",IF(J32&gt;0.7,"Kuat",IF(J32&gt;0.6,"Cukup Kuat",0)))</f>
        <v>Sangat Kuat</v>
      </c>
      <c r="M31" s="12"/>
    </row>
    <row r="32" spans="1:13" ht="15.5" x14ac:dyDescent="0.35">
      <c r="A32" s="12" t="s">
        <v>71</v>
      </c>
      <c r="B32" s="12"/>
      <c r="C32" s="12"/>
      <c r="D32" s="12"/>
      <c r="E32" s="12"/>
      <c r="F32" s="12"/>
      <c r="G32" s="12"/>
      <c r="H32" s="12"/>
      <c r="I32" s="12"/>
      <c r="J32" s="18">
        <f>J31/SUM(K27:K30)</f>
        <v>0.81233766233766236</v>
      </c>
      <c r="K32" s="18"/>
      <c r="L32" s="12"/>
      <c r="M32" s="12"/>
    </row>
    <row r="35" spans="1:5" ht="15.5" x14ac:dyDescent="0.35">
      <c r="A35" s="34" t="s">
        <v>115</v>
      </c>
      <c r="B35" s="34" t="s">
        <v>27</v>
      </c>
      <c r="C35" s="34" t="s">
        <v>116</v>
      </c>
      <c r="D35" s="34" t="s">
        <v>117</v>
      </c>
      <c r="E35" s="34" t="s">
        <v>0</v>
      </c>
    </row>
    <row r="36" spans="1:5" ht="15.5" x14ac:dyDescent="0.35">
      <c r="A36" s="6">
        <v>7</v>
      </c>
      <c r="B36" s="34" t="s">
        <v>34</v>
      </c>
      <c r="C36" s="6">
        <v>1888</v>
      </c>
      <c r="D36" s="6">
        <v>0.81730000000000003</v>
      </c>
      <c r="E36" s="6" t="str">
        <f>IF(D36&gt;0.8,"Sangat Kuat",IF(D36&gt;0.7,"Kuat",IF(D36&gt;0.6,"Cukup Kuat",0)))</f>
        <v>Sangat Kuat</v>
      </c>
    </row>
    <row r="37" spans="1:5" ht="15.5" x14ac:dyDescent="0.35">
      <c r="A37" s="6">
        <v>8</v>
      </c>
      <c r="B37" s="34" t="s">
        <v>35</v>
      </c>
      <c r="C37" s="6">
        <v>1738</v>
      </c>
      <c r="D37" s="6">
        <v>0.75239999999999996</v>
      </c>
      <c r="E37" s="6" t="str">
        <f>IF(D37&gt;0.8,"Sangat Kuat",IF(D37&gt;0.7,"Kuat",IF(D37&gt;0.6,"Cukup Kuat",0)))</f>
        <v>Kuat</v>
      </c>
    </row>
    <row r="38" spans="1:5" ht="15.5" x14ac:dyDescent="0.35">
      <c r="A38" s="6">
        <v>9</v>
      </c>
      <c r="B38" s="34" t="s">
        <v>36</v>
      </c>
      <c r="C38" s="6">
        <v>1734</v>
      </c>
      <c r="D38" s="6">
        <v>0.75060000000000004</v>
      </c>
      <c r="E38" s="6" t="str">
        <f>IF(D38&gt;0.8,"Sangat Kuat",IF(D38&gt;0.7,"Kuat",IF(D38&gt;0.6,"Cukup Kuat",0)))</f>
        <v>Kuat</v>
      </c>
    </row>
    <row r="39" spans="1:5" ht="15.5" x14ac:dyDescent="0.35">
      <c r="A39" s="6">
        <v>10</v>
      </c>
      <c r="B39" s="34" t="s">
        <v>37</v>
      </c>
      <c r="C39" s="6">
        <v>2502</v>
      </c>
      <c r="D39" s="6">
        <v>0.81230000000000002</v>
      </c>
      <c r="E39" s="6" t="str">
        <f>IF(D39&gt;0.8,"Sangat Kuat",IF(D39&gt;0.7,"Kuat",IF(D39&gt;0.6,"Cukup Kuat",0)))</f>
        <v>Sangat Kuat</v>
      </c>
    </row>
    <row r="40" spans="1:5" ht="15.5" x14ac:dyDescent="0.35">
      <c r="A40" s="35" t="s">
        <v>1</v>
      </c>
      <c r="B40" s="36"/>
      <c r="C40" s="6">
        <f>SUM(C36:C39)</f>
        <v>7862</v>
      </c>
      <c r="D40" s="6">
        <f>AVERAGE(D36:D39)</f>
        <v>0.78315000000000001</v>
      </c>
      <c r="E40" s="6" t="str">
        <f>IF(D40&gt;0.8,"Sangat Kuat",IF(D40&gt;0.7,"Kuat",IF(D40&gt;0.6,"Cukup Kuat",0)))</f>
        <v>Kuat</v>
      </c>
    </row>
  </sheetData>
  <mergeCells count="65">
    <mergeCell ref="A40:B40"/>
    <mergeCell ref="A27:A30"/>
    <mergeCell ref="C27:C30"/>
    <mergeCell ref="A14:I14"/>
    <mergeCell ref="J14:K14"/>
    <mergeCell ref="L14:M15"/>
    <mergeCell ref="A15:I15"/>
    <mergeCell ref="J15:K15"/>
    <mergeCell ref="A6:I6"/>
    <mergeCell ref="J6:K6"/>
    <mergeCell ref="L6:M7"/>
    <mergeCell ref="A7:I7"/>
    <mergeCell ref="J7:K7"/>
    <mergeCell ref="D25:D26"/>
    <mergeCell ref="E25:I25"/>
    <mergeCell ref="J25:J26"/>
    <mergeCell ref="K25:K26"/>
    <mergeCell ref="L25:L26"/>
    <mergeCell ref="A22:I22"/>
    <mergeCell ref="J22:K22"/>
    <mergeCell ref="L22:M23"/>
    <mergeCell ref="A23:I23"/>
    <mergeCell ref="J23:K23"/>
    <mergeCell ref="D17:D18"/>
    <mergeCell ref="E17:I17"/>
    <mergeCell ref="J17:J18"/>
    <mergeCell ref="K17:K18"/>
    <mergeCell ref="L17:L18"/>
    <mergeCell ref="M17:M18"/>
    <mergeCell ref="D9:D10"/>
    <mergeCell ref="E9:I9"/>
    <mergeCell ref="J9:J10"/>
    <mergeCell ref="K9:K10"/>
    <mergeCell ref="L9:L10"/>
    <mergeCell ref="M9:M10"/>
    <mergeCell ref="C11:C13"/>
    <mergeCell ref="C19:C21"/>
    <mergeCell ref="A9:A10"/>
    <mergeCell ref="B9:B10"/>
    <mergeCell ref="C9:C10"/>
    <mergeCell ref="A17:A18"/>
    <mergeCell ref="B17:B18"/>
    <mergeCell ref="C17:C18"/>
    <mergeCell ref="A25:A26"/>
    <mergeCell ref="M25:M26"/>
    <mergeCell ref="A31:I31"/>
    <mergeCell ref="J31:K31"/>
    <mergeCell ref="L31:M32"/>
    <mergeCell ref="A32:I32"/>
    <mergeCell ref="J32:K32"/>
    <mergeCell ref="B25:B26"/>
    <mergeCell ref="C25:C26"/>
    <mergeCell ref="M1:M2"/>
    <mergeCell ref="A3:A5"/>
    <mergeCell ref="C1:C2"/>
    <mergeCell ref="D1:D2"/>
    <mergeCell ref="E1:I1"/>
    <mergeCell ref="J1:J2"/>
    <mergeCell ref="K1:K2"/>
    <mergeCell ref="L1:L2"/>
    <mergeCell ref="A1:A2"/>
    <mergeCell ref="B1:B2"/>
    <mergeCell ref="A11:A13"/>
    <mergeCell ref="A19:A21"/>
    <mergeCell ref="C3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66EA-3DAF-4DDA-833D-CF4D99098A3B}">
  <dimension ref="A1:P19"/>
  <sheetViews>
    <sheetView topLeftCell="J6" zoomScale="51" workbookViewId="0">
      <selection activeCell="M1" sqref="M1:P14"/>
    </sheetView>
  </sheetViews>
  <sheetFormatPr defaultRowHeight="15.5" x14ac:dyDescent="0.35"/>
  <cols>
    <col min="1" max="1" width="13.81640625" style="11" customWidth="1"/>
    <col min="2" max="2" width="10.26953125" style="11" bestFit="1" customWidth="1"/>
    <col min="3" max="3" width="39.81640625" style="11" customWidth="1"/>
    <col min="4" max="4" width="8.81640625" style="11" bestFit="1" customWidth="1"/>
    <col min="5" max="8" width="8.7265625" style="11"/>
    <col min="9" max="9" width="33.7265625" style="11" customWidth="1"/>
    <col min="10" max="13" width="8.7265625" style="11"/>
    <col min="14" max="14" width="13.6328125" style="11" bestFit="1" customWidth="1"/>
    <col min="15" max="15" width="44.26953125" style="11" customWidth="1"/>
    <col min="16" max="16384" width="8.7265625" style="11"/>
  </cols>
  <sheetData>
    <row r="1" spans="1:16" ht="31" x14ac:dyDescent="0.35">
      <c r="A1" s="4" t="s">
        <v>27</v>
      </c>
      <c r="B1" s="4" t="s">
        <v>119</v>
      </c>
      <c r="C1" s="4" t="s">
        <v>120</v>
      </c>
      <c r="D1" s="1" t="s">
        <v>121</v>
      </c>
      <c r="G1" s="4" t="s">
        <v>27</v>
      </c>
      <c r="H1" s="4" t="s">
        <v>119</v>
      </c>
      <c r="I1" s="4" t="s">
        <v>120</v>
      </c>
      <c r="J1" s="1" t="s">
        <v>8</v>
      </c>
      <c r="M1" s="4" t="s">
        <v>27</v>
      </c>
      <c r="N1" s="4" t="s">
        <v>119</v>
      </c>
      <c r="O1" s="4" t="s">
        <v>120</v>
      </c>
      <c r="P1" s="1" t="s">
        <v>8</v>
      </c>
    </row>
    <row r="2" spans="1:16" ht="31" x14ac:dyDescent="0.35">
      <c r="A2" s="16" t="s">
        <v>28</v>
      </c>
      <c r="B2" s="6" t="s">
        <v>122</v>
      </c>
      <c r="C2" s="17" t="s">
        <v>53</v>
      </c>
      <c r="D2" s="3">
        <v>0.71735755162594184</v>
      </c>
      <c r="G2" s="14" t="s">
        <v>31</v>
      </c>
      <c r="H2" s="2" t="s">
        <v>152</v>
      </c>
      <c r="I2" s="17" t="s">
        <v>72</v>
      </c>
      <c r="J2" s="3">
        <v>0.68415760265108239</v>
      </c>
      <c r="M2" s="14" t="s">
        <v>34</v>
      </c>
      <c r="N2" s="15" t="s">
        <v>140</v>
      </c>
      <c r="O2" s="17" t="s">
        <v>90</v>
      </c>
      <c r="P2" s="3">
        <v>0.65008489876681586</v>
      </c>
    </row>
    <row r="3" spans="1:16" ht="46.5" x14ac:dyDescent="0.35">
      <c r="A3" s="16"/>
      <c r="B3" s="6" t="s">
        <v>123</v>
      </c>
      <c r="C3" s="17" t="s">
        <v>54</v>
      </c>
      <c r="D3" s="3">
        <v>0.70792703019121761</v>
      </c>
      <c r="G3" s="14"/>
      <c r="H3" s="2" t="s">
        <v>153</v>
      </c>
      <c r="I3" s="17" t="s">
        <v>73</v>
      </c>
      <c r="J3" s="3">
        <v>0.73307976704555811</v>
      </c>
      <c r="M3" s="14"/>
      <c r="N3" s="15" t="s">
        <v>141</v>
      </c>
      <c r="O3" s="17" t="s">
        <v>91</v>
      </c>
      <c r="P3" s="3">
        <v>0.66681728151056607</v>
      </c>
    </row>
    <row r="4" spans="1:16" ht="46.5" x14ac:dyDescent="0.35">
      <c r="A4" s="16"/>
      <c r="B4" s="6" t="s">
        <v>124</v>
      </c>
      <c r="C4" s="17" t="s">
        <v>55</v>
      </c>
      <c r="D4" s="3">
        <v>0.77835957878219142</v>
      </c>
      <c r="G4" s="14"/>
      <c r="H4" s="2" t="s">
        <v>154</v>
      </c>
      <c r="I4" s="17" t="s">
        <v>74</v>
      </c>
      <c r="J4" s="3">
        <v>0.62681906370369411</v>
      </c>
      <c r="M4" s="14"/>
      <c r="N4" s="15" t="s">
        <v>142</v>
      </c>
      <c r="O4" s="17" t="s">
        <v>92</v>
      </c>
      <c r="P4" s="3">
        <v>0.71542558063328809</v>
      </c>
    </row>
    <row r="5" spans="1:16" ht="46.5" x14ac:dyDescent="0.35">
      <c r="A5" s="16"/>
      <c r="B5" s="6" t="s">
        <v>125</v>
      </c>
      <c r="C5" s="17" t="s">
        <v>55</v>
      </c>
      <c r="D5" s="3">
        <v>0.77201051571389201</v>
      </c>
      <c r="G5" s="14"/>
      <c r="H5" s="2" t="s">
        <v>155</v>
      </c>
      <c r="I5" s="17" t="s">
        <v>75</v>
      </c>
      <c r="J5" s="3">
        <v>0.76678222924036266</v>
      </c>
      <c r="M5" s="14" t="s">
        <v>35</v>
      </c>
      <c r="N5" s="15" t="s">
        <v>143</v>
      </c>
      <c r="O5" s="17" t="s">
        <v>93</v>
      </c>
      <c r="P5" s="3">
        <v>0.78119343714106315</v>
      </c>
    </row>
    <row r="6" spans="1:16" ht="46.5" x14ac:dyDescent="0.35">
      <c r="A6" s="16"/>
      <c r="B6" s="6" t="s">
        <v>126</v>
      </c>
      <c r="C6" s="17" t="s">
        <v>56</v>
      </c>
      <c r="D6" s="3">
        <v>0.78158048998062579</v>
      </c>
      <c r="G6" s="14"/>
      <c r="H6" s="2" t="s">
        <v>156</v>
      </c>
      <c r="I6" s="17" t="s">
        <v>76</v>
      </c>
      <c r="J6" s="3">
        <v>0.83070177268246881</v>
      </c>
      <c r="M6" s="14"/>
      <c r="N6" s="15" t="s">
        <v>144</v>
      </c>
      <c r="O6" s="17" t="s">
        <v>94</v>
      </c>
      <c r="P6" s="3">
        <v>0.64384283478065552</v>
      </c>
    </row>
    <row r="7" spans="1:16" ht="93" x14ac:dyDescent="0.35">
      <c r="A7" s="16"/>
      <c r="B7" s="6" t="s">
        <v>127</v>
      </c>
      <c r="C7" s="17" t="s">
        <v>57</v>
      </c>
      <c r="D7" s="3">
        <v>0.80016390071302834</v>
      </c>
      <c r="G7" s="14"/>
      <c r="H7" s="2" t="s">
        <v>157</v>
      </c>
      <c r="I7" s="17" t="s">
        <v>77</v>
      </c>
      <c r="J7" s="3">
        <v>0.7042254695125274</v>
      </c>
      <c r="M7" s="14"/>
      <c r="N7" s="15" t="s">
        <v>145</v>
      </c>
      <c r="O7" s="17" t="s">
        <v>95</v>
      </c>
      <c r="P7" s="3">
        <v>0.62887422222760236</v>
      </c>
    </row>
    <row r="8" spans="1:16" ht="46.5" x14ac:dyDescent="0.35">
      <c r="A8" s="16" t="s">
        <v>29</v>
      </c>
      <c r="B8" s="6" t="s">
        <v>128</v>
      </c>
      <c r="C8" s="17" t="s">
        <v>58</v>
      </c>
      <c r="D8" s="3">
        <v>0.83317056459463523</v>
      </c>
      <c r="G8" s="14" t="s">
        <v>32</v>
      </c>
      <c r="H8" s="2" t="s">
        <v>158</v>
      </c>
      <c r="I8" s="17" t="s">
        <v>78</v>
      </c>
      <c r="J8" s="3">
        <v>0.68605820352315516</v>
      </c>
      <c r="M8" s="14" t="s">
        <v>36</v>
      </c>
      <c r="N8" s="15" t="s">
        <v>146</v>
      </c>
      <c r="O8" s="17" t="s">
        <v>96</v>
      </c>
      <c r="P8" s="3">
        <v>0.65732288246673387</v>
      </c>
    </row>
    <row r="9" spans="1:16" ht="46.5" x14ac:dyDescent="0.35">
      <c r="A9" s="16"/>
      <c r="B9" s="6" t="s">
        <v>129</v>
      </c>
      <c r="C9" s="17" t="s">
        <v>59</v>
      </c>
      <c r="D9" s="3">
        <v>0.71817602395213986</v>
      </c>
      <c r="G9" s="14"/>
      <c r="H9" s="2" t="s">
        <v>159</v>
      </c>
      <c r="I9" s="17" t="s">
        <v>79</v>
      </c>
      <c r="J9" s="3">
        <v>0.76777905396742085</v>
      </c>
      <c r="M9" s="14"/>
      <c r="N9" s="15" t="s">
        <v>147</v>
      </c>
      <c r="O9" s="17" t="s">
        <v>97</v>
      </c>
      <c r="P9" s="3">
        <v>0.74572736581879684</v>
      </c>
    </row>
    <row r="10" spans="1:16" ht="46.5" x14ac:dyDescent="0.35">
      <c r="A10" s="16"/>
      <c r="B10" s="6" t="s">
        <v>130</v>
      </c>
      <c r="C10" s="17" t="s">
        <v>60</v>
      </c>
      <c r="D10" s="3">
        <v>0.81759617027139775</v>
      </c>
      <c r="G10" s="14"/>
      <c r="H10" s="2" t="s">
        <v>160</v>
      </c>
      <c r="I10" s="17" t="s">
        <v>80</v>
      </c>
      <c r="J10" s="3">
        <v>0.82573423534901436</v>
      </c>
      <c r="M10" s="14"/>
      <c r="N10" s="15" t="s">
        <v>148</v>
      </c>
      <c r="O10" s="17" t="s">
        <v>98</v>
      </c>
      <c r="P10" s="3">
        <v>0.64109663684718465</v>
      </c>
    </row>
    <row r="11" spans="1:16" ht="46.5" x14ac:dyDescent="0.35">
      <c r="A11" s="16"/>
      <c r="B11" s="6" t="s">
        <v>131</v>
      </c>
      <c r="C11" s="17" t="s">
        <v>61</v>
      </c>
      <c r="D11" s="3">
        <v>0.84795501816142127</v>
      </c>
      <c r="G11" s="14"/>
      <c r="H11" s="2" t="s">
        <v>161</v>
      </c>
      <c r="I11" s="17" t="s">
        <v>81</v>
      </c>
      <c r="J11" s="3">
        <v>0.79896400824535208</v>
      </c>
      <c r="M11" s="14" t="s">
        <v>37</v>
      </c>
      <c r="N11" s="6" t="s">
        <v>149</v>
      </c>
      <c r="O11" s="17" t="s">
        <v>99</v>
      </c>
      <c r="P11" s="3">
        <v>0.70149060002750763</v>
      </c>
    </row>
    <row r="12" spans="1:16" ht="46.5" x14ac:dyDescent="0.35">
      <c r="A12" s="16"/>
      <c r="B12" s="6" t="s">
        <v>132</v>
      </c>
      <c r="C12" s="17" t="s">
        <v>62</v>
      </c>
      <c r="D12" s="3">
        <v>0.7870588648622302</v>
      </c>
      <c r="G12" s="14"/>
      <c r="H12" s="2" t="s">
        <v>162</v>
      </c>
      <c r="I12" s="17" t="s">
        <v>82</v>
      </c>
      <c r="J12" s="3">
        <v>0.82534270319067837</v>
      </c>
      <c r="M12" s="14"/>
      <c r="N12" s="6" t="s">
        <v>150</v>
      </c>
      <c r="O12" s="17" t="s">
        <v>100</v>
      </c>
      <c r="P12" s="3">
        <v>0.7395986531202704</v>
      </c>
    </row>
    <row r="13" spans="1:16" ht="46.5" x14ac:dyDescent="0.35">
      <c r="A13" s="16"/>
      <c r="B13" s="6" t="s">
        <v>133</v>
      </c>
      <c r="C13" s="17" t="s">
        <v>63</v>
      </c>
      <c r="D13" s="3">
        <v>0.60527344940176364</v>
      </c>
      <c r="G13" s="14"/>
      <c r="H13" s="2" t="s">
        <v>163</v>
      </c>
      <c r="I13" s="17" t="s">
        <v>83</v>
      </c>
      <c r="J13" s="3">
        <v>0.77704026894825518</v>
      </c>
      <c r="M13" s="14"/>
      <c r="N13" s="6" t="s">
        <v>151</v>
      </c>
      <c r="O13" s="17" t="s">
        <v>101</v>
      </c>
      <c r="P13" s="3">
        <v>0.66729819384639766</v>
      </c>
    </row>
    <row r="14" spans="1:16" ht="31" x14ac:dyDescent="0.35">
      <c r="A14" s="16" t="s">
        <v>30</v>
      </c>
      <c r="B14" s="6" t="s">
        <v>134</v>
      </c>
      <c r="C14" s="17" t="s">
        <v>64</v>
      </c>
      <c r="D14" s="3">
        <v>0.75103368262286851</v>
      </c>
      <c r="G14" s="14" t="s">
        <v>33</v>
      </c>
      <c r="H14" s="2" t="s">
        <v>164</v>
      </c>
      <c r="I14" s="17" t="s">
        <v>84</v>
      </c>
      <c r="J14" s="3">
        <v>0.75084973762796958</v>
      </c>
      <c r="M14" s="14"/>
      <c r="N14" s="6" t="s">
        <v>171</v>
      </c>
      <c r="O14" s="2" t="s">
        <v>170</v>
      </c>
      <c r="P14" s="6">
        <v>0.62280160582684496</v>
      </c>
    </row>
    <row r="15" spans="1:16" ht="31" x14ac:dyDescent="0.35">
      <c r="A15" s="16"/>
      <c r="B15" s="6" t="s">
        <v>135</v>
      </c>
      <c r="C15" s="17" t="s">
        <v>65</v>
      </c>
      <c r="D15" s="3">
        <v>0.77944662657766117</v>
      </c>
      <c r="G15" s="14"/>
      <c r="H15" s="2" t="s">
        <v>165</v>
      </c>
      <c r="I15" s="17" t="s">
        <v>85</v>
      </c>
      <c r="J15" s="3">
        <v>0.69874458207049306</v>
      </c>
    </row>
    <row r="16" spans="1:16" ht="46.5" x14ac:dyDescent="0.35">
      <c r="A16" s="16"/>
      <c r="B16" s="6" t="s">
        <v>136</v>
      </c>
      <c r="C16" s="17" t="s">
        <v>66</v>
      </c>
      <c r="D16" s="3">
        <v>0.80539698887024902</v>
      </c>
      <c r="G16" s="14"/>
      <c r="H16" s="2" t="s">
        <v>166</v>
      </c>
      <c r="I16" s="17" t="s">
        <v>86</v>
      </c>
      <c r="J16" s="3">
        <v>0.72665650395481685</v>
      </c>
    </row>
    <row r="17" spans="1:10" ht="31" x14ac:dyDescent="0.35">
      <c r="A17" s="16"/>
      <c r="B17" s="6" t="s">
        <v>137</v>
      </c>
      <c r="C17" s="17" t="s">
        <v>67</v>
      </c>
      <c r="D17" s="3">
        <v>0.74651204414460737</v>
      </c>
      <c r="G17" s="14"/>
      <c r="H17" s="2" t="s">
        <v>167</v>
      </c>
      <c r="I17" s="17" t="s">
        <v>87</v>
      </c>
      <c r="J17" s="3">
        <v>0.72986911161514367</v>
      </c>
    </row>
    <row r="18" spans="1:10" ht="46.5" x14ac:dyDescent="0.35">
      <c r="A18" s="16"/>
      <c r="B18" s="6" t="s">
        <v>138</v>
      </c>
      <c r="C18" s="17" t="s">
        <v>68</v>
      </c>
      <c r="D18" s="3">
        <v>0.77740105054213748</v>
      </c>
      <c r="G18" s="14"/>
      <c r="H18" s="2" t="s">
        <v>168</v>
      </c>
      <c r="I18" s="17" t="s">
        <v>88</v>
      </c>
      <c r="J18" s="3">
        <v>0.72073924779938636</v>
      </c>
    </row>
    <row r="19" spans="1:10" ht="31" x14ac:dyDescent="0.35">
      <c r="A19" s="16"/>
      <c r="B19" s="6" t="s">
        <v>139</v>
      </c>
      <c r="C19" s="17" t="s">
        <v>69</v>
      </c>
      <c r="D19" s="3">
        <v>0.78181743647227475</v>
      </c>
      <c r="G19" s="14"/>
      <c r="H19" s="2" t="s">
        <v>169</v>
      </c>
      <c r="I19" s="17" t="s">
        <v>89</v>
      </c>
      <c r="J19" s="3">
        <v>0.77226256867668763</v>
      </c>
    </row>
  </sheetData>
  <mergeCells count="10">
    <mergeCell ref="M11:M14"/>
    <mergeCell ref="A2:A7"/>
    <mergeCell ref="A8:A13"/>
    <mergeCell ref="A14:A19"/>
    <mergeCell ref="M2:M4"/>
    <mergeCell ref="M5:M7"/>
    <mergeCell ref="M8:M10"/>
    <mergeCell ref="G2:G7"/>
    <mergeCell ref="G8:G13"/>
    <mergeCell ref="G14:G1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8E5E-FF87-4708-B547-E45ABC95210E}">
  <dimension ref="A1:E50"/>
  <sheetViews>
    <sheetView topLeftCell="A28" zoomScale="67" workbookViewId="0">
      <selection sqref="A1:E50"/>
    </sheetView>
  </sheetViews>
  <sheetFormatPr defaultRowHeight="14.5" x14ac:dyDescent="0.35"/>
  <cols>
    <col min="1" max="1" width="13.1796875" customWidth="1"/>
    <col min="2" max="2" width="10.26953125" bestFit="1" customWidth="1"/>
    <col min="3" max="3" width="13.08984375" customWidth="1"/>
    <col min="4" max="4" width="14.54296875" customWidth="1"/>
    <col min="5" max="5" width="15.6328125" customWidth="1"/>
  </cols>
  <sheetData>
    <row r="1" spans="1:5" ht="46.5" x14ac:dyDescent="0.35">
      <c r="A1" s="6" t="s">
        <v>9</v>
      </c>
      <c r="B1" s="33" t="s">
        <v>119</v>
      </c>
      <c r="C1" s="39" t="s">
        <v>172</v>
      </c>
      <c r="D1" s="17" t="s">
        <v>18</v>
      </c>
      <c r="E1" s="17" t="s">
        <v>19</v>
      </c>
    </row>
    <row r="2" spans="1:5" ht="15.5" x14ac:dyDescent="0.35">
      <c r="A2" s="14" t="s">
        <v>173</v>
      </c>
      <c r="B2" s="6" t="s">
        <v>122</v>
      </c>
      <c r="C2" s="40">
        <v>0.28000000000000003</v>
      </c>
      <c r="D2" s="40">
        <v>0.49199999999999999</v>
      </c>
      <c r="E2" s="40">
        <v>0.71699999999999997</v>
      </c>
    </row>
    <row r="3" spans="1:5" ht="15.5" x14ac:dyDescent="0.35">
      <c r="A3" s="14"/>
      <c r="B3" s="6" t="s">
        <v>123</v>
      </c>
      <c r="C3" s="40">
        <v>0.51200000000000001</v>
      </c>
      <c r="D3" s="40">
        <v>0.65</v>
      </c>
      <c r="E3" s="40">
        <v>0.70799999999999996</v>
      </c>
    </row>
    <row r="4" spans="1:5" ht="15.5" x14ac:dyDescent="0.35">
      <c r="A4" s="14"/>
      <c r="B4" s="6" t="s">
        <v>124</v>
      </c>
      <c r="C4" s="40">
        <v>0.33300000000000002</v>
      </c>
      <c r="D4" s="40">
        <v>0.52500000000000002</v>
      </c>
      <c r="E4" s="40">
        <v>0.77800000000000002</v>
      </c>
    </row>
    <row r="5" spans="1:5" ht="15.5" x14ac:dyDescent="0.35">
      <c r="A5" s="14"/>
      <c r="B5" s="6" t="s">
        <v>125</v>
      </c>
      <c r="C5" s="40">
        <v>0.3</v>
      </c>
      <c r="D5" s="40">
        <v>0.55200000000000005</v>
      </c>
      <c r="E5" s="40">
        <v>0.77200000000000002</v>
      </c>
    </row>
    <row r="6" spans="1:5" ht="15.5" x14ac:dyDescent="0.35">
      <c r="A6" s="14"/>
      <c r="B6" s="6" t="s">
        <v>126</v>
      </c>
      <c r="C6" s="40">
        <v>0.27600000000000002</v>
      </c>
      <c r="D6" s="40">
        <v>0.49299999999999999</v>
      </c>
      <c r="E6" s="40">
        <v>0.78200000000000003</v>
      </c>
    </row>
    <row r="7" spans="1:5" ht="15.5" x14ac:dyDescent="0.35">
      <c r="A7" s="14"/>
      <c r="B7" s="6" t="s">
        <v>127</v>
      </c>
      <c r="C7" s="40">
        <v>0.32200000000000001</v>
      </c>
      <c r="D7" s="40">
        <v>0.55500000000000005</v>
      </c>
      <c r="E7" s="40">
        <v>0.8</v>
      </c>
    </row>
    <row r="8" spans="1:5" ht="15.5" x14ac:dyDescent="0.35">
      <c r="A8" s="14"/>
      <c r="B8" s="6" t="s">
        <v>128</v>
      </c>
      <c r="C8" s="40">
        <v>0.38</v>
      </c>
      <c r="D8" s="40">
        <v>0.58799999999999997</v>
      </c>
      <c r="E8" s="40">
        <v>0.83299999999999996</v>
      </c>
    </row>
    <row r="9" spans="1:5" ht="15.5" x14ac:dyDescent="0.35">
      <c r="A9" s="14"/>
      <c r="B9" s="6" t="s">
        <v>129</v>
      </c>
      <c r="C9" s="40">
        <v>0.36499999999999999</v>
      </c>
      <c r="D9" s="40">
        <v>0.57499999999999996</v>
      </c>
      <c r="E9" s="40">
        <v>0.71799999999999997</v>
      </c>
    </row>
    <row r="10" spans="1:5" ht="15.5" x14ac:dyDescent="0.35">
      <c r="A10" s="14"/>
      <c r="B10" s="6" t="s">
        <v>130</v>
      </c>
      <c r="C10" s="40">
        <v>0.42799999999999999</v>
      </c>
      <c r="D10" s="40">
        <v>0.56200000000000006</v>
      </c>
      <c r="E10" s="40">
        <v>0.81799999999999995</v>
      </c>
    </row>
    <row r="11" spans="1:5" ht="15.5" x14ac:dyDescent="0.35">
      <c r="A11" s="14"/>
      <c r="B11" s="6" t="s">
        <v>131</v>
      </c>
      <c r="C11" s="40">
        <v>0.43099999999999999</v>
      </c>
      <c r="D11" s="40">
        <v>0.56000000000000005</v>
      </c>
      <c r="E11" s="40">
        <v>0.84799999999999998</v>
      </c>
    </row>
    <row r="12" spans="1:5" ht="15.5" x14ac:dyDescent="0.35">
      <c r="A12" s="14"/>
      <c r="B12" s="6" t="s">
        <v>132</v>
      </c>
      <c r="C12" s="40">
        <v>0.46600000000000003</v>
      </c>
      <c r="D12" s="40">
        <v>0.58099999999999996</v>
      </c>
      <c r="E12" s="40">
        <v>0.78700000000000003</v>
      </c>
    </row>
    <row r="13" spans="1:5" ht="15.5" x14ac:dyDescent="0.35">
      <c r="A13" s="14"/>
      <c r="B13" s="6" t="s">
        <v>133</v>
      </c>
      <c r="C13" s="40">
        <v>0.377</v>
      </c>
      <c r="D13" s="40">
        <v>0.50900000000000001</v>
      </c>
      <c r="E13" s="40">
        <v>0.60499999999999998</v>
      </c>
    </row>
    <row r="14" spans="1:5" ht="15.5" x14ac:dyDescent="0.35">
      <c r="A14" s="14"/>
      <c r="B14" s="6" t="s">
        <v>134</v>
      </c>
      <c r="C14" s="40">
        <v>0.46100000000000002</v>
      </c>
      <c r="D14" s="40">
        <v>0.58699999999999997</v>
      </c>
      <c r="E14" s="40">
        <v>0.751</v>
      </c>
    </row>
    <row r="15" spans="1:5" ht="15.5" x14ac:dyDescent="0.35">
      <c r="A15" s="14"/>
      <c r="B15" s="6" t="s">
        <v>135</v>
      </c>
      <c r="C15" s="40">
        <v>0.48399999999999999</v>
      </c>
      <c r="D15" s="40">
        <v>0.59399999999999997</v>
      </c>
      <c r="E15" s="40">
        <v>0.77900000000000003</v>
      </c>
    </row>
    <row r="16" spans="1:5" ht="15.5" x14ac:dyDescent="0.35">
      <c r="A16" s="14"/>
      <c r="B16" s="6" t="s">
        <v>136</v>
      </c>
      <c r="C16" s="40">
        <v>0.61499999999999999</v>
      </c>
      <c r="D16" s="40">
        <v>0.69</v>
      </c>
      <c r="E16" s="40">
        <v>0.80500000000000005</v>
      </c>
    </row>
    <row r="17" spans="1:5" ht="15.5" x14ac:dyDescent="0.35">
      <c r="A17" s="14"/>
      <c r="B17" s="6" t="s">
        <v>137</v>
      </c>
      <c r="C17" s="40">
        <v>0.55000000000000004</v>
      </c>
      <c r="D17" s="40">
        <v>0.63800000000000001</v>
      </c>
      <c r="E17" s="40">
        <v>0.747</v>
      </c>
    </row>
    <row r="18" spans="1:5" ht="15.5" x14ac:dyDescent="0.35">
      <c r="A18" s="14"/>
      <c r="B18" s="6" t="s">
        <v>138</v>
      </c>
      <c r="C18" s="40">
        <v>0.48899999999999999</v>
      </c>
      <c r="D18" s="40">
        <v>0.66100000000000003</v>
      </c>
      <c r="E18" s="40">
        <v>0.77700000000000002</v>
      </c>
    </row>
    <row r="19" spans="1:5" ht="15.5" x14ac:dyDescent="0.35">
      <c r="A19" s="14"/>
      <c r="B19" s="6" t="s">
        <v>139</v>
      </c>
      <c r="C19" s="40">
        <v>0.45200000000000001</v>
      </c>
      <c r="D19" s="40">
        <v>0.64</v>
      </c>
      <c r="E19" s="40">
        <v>0.78200000000000003</v>
      </c>
    </row>
    <row r="20" spans="1:5" ht="15.5" x14ac:dyDescent="0.35">
      <c r="A20" s="41" t="s">
        <v>172</v>
      </c>
      <c r="B20" s="2" t="s">
        <v>152</v>
      </c>
      <c r="C20" s="40">
        <v>0.68400000000000005</v>
      </c>
      <c r="D20" s="40">
        <v>0.42499999999999999</v>
      </c>
      <c r="E20" s="40">
        <v>0.376</v>
      </c>
    </row>
    <row r="21" spans="1:5" ht="15.5" x14ac:dyDescent="0.35">
      <c r="A21" s="41"/>
      <c r="B21" s="2" t="s">
        <v>153</v>
      </c>
      <c r="C21" s="40">
        <v>0.73299999999999998</v>
      </c>
      <c r="D21" s="40">
        <v>0.42799999999999999</v>
      </c>
      <c r="E21" s="40">
        <v>0.36</v>
      </c>
    </row>
    <row r="22" spans="1:5" ht="15.5" x14ac:dyDescent="0.35">
      <c r="A22" s="41"/>
      <c r="B22" s="2" t="s">
        <v>154</v>
      </c>
      <c r="C22" s="40">
        <v>0.627</v>
      </c>
      <c r="D22" s="40">
        <v>0.39700000000000002</v>
      </c>
      <c r="E22" s="40">
        <v>0.376</v>
      </c>
    </row>
    <row r="23" spans="1:5" ht="15.5" x14ac:dyDescent="0.35">
      <c r="A23" s="41"/>
      <c r="B23" s="2" t="s">
        <v>155</v>
      </c>
      <c r="C23" s="40">
        <v>0.76700000000000002</v>
      </c>
      <c r="D23" s="40">
        <v>0.45400000000000001</v>
      </c>
      <c r="E23" s="40">
        <v>0.40400000000000003</v>
      </c>
    </row>
    <row r="24" spans="1:5" ht="15.5" x14ac:dyDescent="0.35">
      <c r="A24" s="41"/>
      <c r="B24" s="2" t="s">
        <v>156</v>
      </c>
      <c r="C24" s="40">
        <v>0.83099999999999996</v>
      </c>
      <c r="D24" s="40">
        <v>0.55300000000000005</v>
      </c>
      <c r="E24" s="40">
        <v>0.499</v>
      </c>
    </row>
    <row r="25" spans="1:5" ht="15.5" x14ac:dyDescent="0.35">
      <c r="A25" s="41"/>
      <c r="B25" s="2" t="s">
        <v>157</v>
      </c>
      <c r="C25" s="40">
        <v>0.70399999999999996</v>
      </c>
      <c r="D25" s="40">
        <v>0.46899999999999997</v>
      </c>
      <c r="E25" s="40">
        <v>0.49199999999999999</v>
      </c>
    </row>
    <row r="26" spans="1:5" ht="15.5" x14ac:dyDescent="0.35">
      <c r="A26" s="41"/>
      <c r="B26" s="2" t="s">
        <v>158</v>
      </c>
      <c r="C26" s="40">
        <v>0.68600000000000005</v>
      </c>
      <c r="D26" s="40">
        <v>0.49399999999999999</v>
      </c>
      <c r="E26" s="40">
        <v>0.44800000000000001</v>
      </c>
    </row>
    <row r="27" spans="1:5" ht="15.5" x14ac:dyDescent="0.35">
      <c r="A27" s="41"/>
      <c r="B27" s="2" t="s">
        <v>159</v>
      </c>
      <c r="C27" s="40">
        <v>0.76800000000000002</v>
      </c>
      <c r="D27" s="40">
        <v>0.47699999999999998</v>
      </c>
      <c r="E27" s="40">
        <v>0.41499999999999998</v>
      </c>
    </row>
    <row r="28" spans="1:5" ht="15.5" x14ac:dyDescent="0.35">
      <c r="A28" s="41"/>
      <c r="B28" s="2" t="s">
        <v>160</v>
      </c>
      <c r="C28" s="40">
        <v>0.82599999999999996</v>
      </c>
      <c r="D28" s="40">
        <v>0.48199999999999998</v>
      </c>
      <c r="E28" s="40">
        <v>0.378</v>
      </c>
    </row>
    <row r="29" spans="1:5" ht="15.5" x14ac:dyDescent="0.35">
      <c r="A29" s="41"/>
      <c r="B29" s="2" t="s">
        <v>161</v>
      </c>
      <c r="C29" s="40">
        <v>0.79900000000000004</v>
      </c>
      <c r="D29" s="40">
        <v>0.47599999999999998</v>
      </c>
      <c r="E29" s="40">
        <v>0.42399999999999999</v>
      </c>
    </row>
    <row r="30" spans="1:5" ht="15.5" x14ac:dyDescent="0.35">
      <c r="A30" s="41"/>
      <c r="B30" s="2" t="s">
        <v>162</v>
      </c>
      <c r="C30" s="40">
        <v>0.82499999999999996</v>
      </c>
      <c r="D30" s="40">
        <v>0.58199999999999996</v>
      </c>
      <c r="E30" s="40">
        <v>0.44700000000000001</v>
      </c>
    </row>
    <row r="31" spans="1:5" ht="15.5" x14ac:dyDescent="0.35">
      <c r="A31" s="41"/>
      <c r="B31" s="2" t="s">
        <v>163</v>
      </c>
      <c r="C31" s="40">
        <v>0.77700000000000002</v>
      </c>
      <c r="D31" s="40">
        <v>0.54</v>
      </c>
      <c r="E31" s="40">
        <v>0.41499999999999998</v>
      </c>
    </row>
    <row r="32" spans="1:5" ht="15.5" x14ac:dyDescent="0.35">
      <c r="A32" s="41"/>
      <c r="B32" s="2" t="s">
        <v>164</v>
      </c>
      <c r="C32" s="40">
        <v>0.751</v>
      </c>
      <c r="D32" s="40">
        <v>0.51900000000000002</v>
      </c>
      <c r="E32" s="40">
        <v>0.39300000000000002</v>
      </c>
    </row>
    <row r="33" spans="1:5" ht="15.5" x14ac:dyDescent="0.35">
      <c r="A33" s="41"/>
      <c r="B33" s="2" t="s">
        <v>165</v>
      </c>
      <c r="C33" s="40">
        <v>0.69899999999999995</v>
      </c>
      <c r="D33" s="40">
        <v>0.46400000000000002</v>
      </c>
      <c r="E33" s="40">
        <v>0.30399999999999999</v>
      </c>
    </row>
    <row r="34" spans="1:5" ht="15.5" x14ac:dyDescent="0.35">
      <c r="A34" s="41"/>
      <c r="B34" s="2" t="s">
        <v>166</v>
      </c>
      <c r="C34" s="40">
        <v>0.72699999999999998</v>
      </c>
      <c r="D34" s="40">
        <v>0.46200000000000002</v>
      </c>
      <c r="E34" s="40">
        <v>0.34899999999999998</v>
      </c>
    </row>
    <row r="35" spans="1:5" ht="15.5" x14ac:dyDescent="0.35">
      <c r="A35" s="41"/>
      <c r="B35" s="2" t="s">
        <v>167</v>
      </c>
      <c r="C35" s="40">
        <v>0.73</v>
      </c>
      <c r="D35" s="40">
        <v>0.49099999999999999</v>
      </c>
      <c r="E35" s="40">
        <v>0.35399999999999998</v>
      </c>
    </row>
    <row r="36" spans="1:5" ht="15.5" x14ac:dyDescent="0.35">
      <c r="A36" s="41"/>
      <c r="B36" s="2" t="s">
        <v>168</v>
      </c>
      <c r="C36" s="40">
        <v>0.72099999999999997</v>
      </c>
      <c r="D36" s="40">
        <v>0.57099999999999995</v>
      </c>
      <c r="E36" s="40">
        <v>0.45700000000000002</v>
      </c>
    </row>
    <row r="37" spans="1:5" ht="15.5" x14ac:dyDescent="0.35">
      <c r="A37" s="41"/>
      <c r="B37" s="2" t="s">
        <v>169</v>
      </c>
      <c r="C37" s="40">
        <v>0.77200000000000002</v>
      </c>
      <c r="D37" s="40">
        <v>0.56899999999999995</v>
      </c>
      <c r="E37" s="40">
        <v>0.51600000000000001</v>
      </c>
    </row>
    <row r="38" spans="1:5" ht="15.5" x14ac:dyDescent="0.35">
      <c r="A38" s="14" t="s">
        <v>18</v>
      </c>
      <c r="B38" s="15" t="s">
        <v>140</v>
      </c>
      <c r="C38" s="40">
        <v>0.38200000000000001</v>
      </c>
      <c r="D38" s="40">
        <v>0.65</v>
      </c>
      <c r="E38" s="40">
        <v>0.65</v>
      </c>
    </row>
    <row r="39" spans="1:5" ht="15.5" x14ac:dyDescent="0.35">
      <c r="A39" s="14"/>
      <c r="B39" s="15" t="s">
        <v>141</v>
      </c>
      <c r="C39" s="40">
        <v>0.42499999999999999</v>
      </c>
      <c r="D39" s="40">
        <v>0.66700000000000004</v>
      </c>
      <c r="E39" s="40">
        <v>0.442</v>
      </c>
    </row>
    <row r="40" spans="1:5" ht="15.5" x14ac:dyDescent="0.35">
      <c r="A40" s="14"/>
      <c r="B40" s="15" t="s">
        <v>142</v>
      </c>
      <c r="C40" s="40">
        <v>0.47599999999999998</v>
      </c>
      <c r="D40" s="40">
        <v>0.71499999999999997</v>
      </c>
      <c r="E40" s="40">
        <v>0.45500000000000002</v>
      </c>
    </row>
    <row r="41" spans="1:5" ht="15.5" x14ac:dyDescent="0.35">
      <c r="A41" s="14"/>
      <c r="B41" s="15" t="s">
        <v>143</v>
      </c>
      <c r="C41" s="40">
        <v>0.51500000000000001</v>
      </c>
      <c r="D41" s="40">
        <v>0.78100000000000003</v>
      </c>
      <c r="E41" s="40">
        <v>0.48199999999999998</v>
      </c>
    </row>
    <row r="42" spans="1:5" ht="15.5" x14ac:dyDescent="0.35">
      <c r="A42" s="14"/>
      <c r="B42" s="15" t="s">
        <v>144</v>
      </c>
      <c r="C42" s="40">
        <v>0.438</v>
      </c>
      <c r="D42" s="40">
        <v>0.64400000000000002</v>
      </c>
      <c r="E42" s="40">
        <v>0.377</v>
      </c>
    </row>
    <row r="43" spans="1:5" ht="15.5" x14ac:dyDescent="0.35">
      <c r="A43" s="14"/>
      <c r="B43" s="15" t="s">
        <v>145</v>
      </c>
      <c r="C43" s="40">
        <v>0.34300000000000003</v>
      </c>
      <c r="D43" s="40">
        <v>0.629</v>
      </c>
      <c r="E43" s="40">
        <v>0.45200000000000001</v>
      </c>
    </row>
    <row r="44" spans="1:5" ht="15.5" x14ac:dyDescent="0.35">
      <c r="A44" s="14"/>
      <c r="B44" s="15" t="s">
        <v>146</v>
      </c>
      <c r="C44" s="40">
        <v>0.42599999999999999</v>
      </c>
      <c r="D44" s="40">
        <v>0.65700000000000003</v>
      </c>
      <c r="E44" s="40">
        <v>0.41499999999999998</v>
      </c>
    </row>
    <row r="45" spans="1:5" ht="15.5" x14ac:dyDescent="0.35">
      <c r="A45" s="14"/>
      <c r="B45" s="15" t="s">
        <v>147</v>
      </c>
      <c r="C45" s="40">
        <v>0.45600000000000002</v>
      </c>
      <c r="D45" s="40">
        <v>0.746</v>
      </c>
      <c r="E45" s="40">
        <v>0.40200000000000002</v>
      </c>
    </row>
    <row r="46" spans="1:5" ht="15.5" x14ac:dyDescent="0.35">
      <c r="A46" s="14"/>
      <c r="B46" s="15" t="s">
        <v>148</v>
      </c>
      <c r="C46" s="40">
        <v>0.376</v>
      </c>
      <c r="D46" s="40">
        <v>0.64100000000000001</v>
      </c>
      <c r="E46" s="40">
        <v>0.36399999999999999</v>
      </c>
    </row>
    <row r="47" spans="1:5" ht="15.5" x14ac:dyDescent="0.35">
      <c r="A47" s="14"/>
      <c r="B47" s="15" t="s">
        <v>149</v>
      </c>
      <c r="C47" s="40">
        <v>0.435</v>
      </c>
      <c r="D47" s="40">
        <v>0.70099999999999996</v>
      </c>
      <c r="E47" s="40">
        <v>0.49299999999999999</v>
      </c>
    </row>
    <row r="48" spans="1:5" ht="15.5" x14ac:dyDescent="0.35">
      <c r="A48" s="14"/>
      <c r="B48" s="15" t="s">
        <v>150</v>
      </c>
      <c r="C48" s="40">
        <v>0.53500000000000003</v>
      </c>
      <c r="D48" s="40">
        <v>0.74</v>
      </c>
      <c r="E48" s="40">
        <v>0.54800000000000004</v>
      </c>
    </row>
    <row r="49" spans="1:5" ht="15.5" x14ac:dyDescent="0.35">
      <c r="A49" s="14"/>
      <c r="B49" s="15" t="s">
        <v>151</v>
      </c>
      <c r="C49" s="40">
        <v>0.51500000000000001</v>
      </c>
      <c r="D49" s="40">
        <v>0.66700000000000004</v>
      </c>
      <c r="E49" s="40">
        <v>0.76200000000000001</v>
      </c>
    </row>
    <row r="50" spans="1:5" ht="15.5" x14ac:dyDescent="0.35">
      <c r="A50" s="14"/>
      <c r="B50" s="15" t="s">
        <v>171</v>
      </c>
      <c r="C50" s="40">
        <v>0.48499999999999999</v>
      </c>
      <c r="D50" s="40">
        <v>0.623</v>
      </c>
      <c r="E50" s="40">
        <v>0.66500000000000004</v>
      </c>
    </row>
  </sheetData>
  <mergeCells count="3">
    <mergeCell ref="A2:A19"/>
    <mergeCell ref="A20:A37"/>
    <mergeCell ref="A38:A50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F11-6F13-46C2-80D5-D2F0CEDABB6F}">
  <dimension ref="A1:C4"/>
  <sheetViews>
    <sheetView workbookViewId="0">
      <selection sqref="A1:C4"/>
    </sheetView>
  </sheetViews>
  <sheetFormatPr defaultRowHeight="14.5" x14ac:dyDescent="0.35"/>
  <cols>
    <col min="1" max="1" width="28.7265625" bestFit="1" customWidth="1"/>
    <col min="2" max="2" width="12.26953125" customWidth="1"/>
    <col min="3" max="3" width="12.453125" customWidth="1"/>
  </cols>
  <sheetData>
    <row r="1" spans="1:3" ht="31" x14ac:dyDescent="0.35">
      <c r="A1" s="4" t="s">
        <v>9</v>
      </c>
      <c r="B1" s="1" t="s">
        <v>10</v>
      </c>
      <c r="C1" s="1" t="s">
        <v>174</v>
      </c>
    </row>
    <row r="2" spans="1:3" ht="15.5" x14ac:dyDescent="0.35">
      <c r="A2" s="6" t="s">
        <v>19</v>
      </c>
      <c r="B2" s="3">
        <v>0.95893575655074104</v>
      </c>
      <c r="C2" s="3">
        <v>0.9628583205735719</v>
      </c>
    </row>
    <row r="3" spans="1:3" ht="15.5" x14ac:dyDescent="0.35">
      <c r="A3" s="6" t="s">
        <v>17</v>
      </c>
      <c r="B3" s="3">
        <v>0.95316766325215996</v>
      </c>
      <c r="C3" s="3">
        <v>0.95784101548655087</v>
      </c>
    </row>
    <row r="4" spans="1:3" ht="15.5" x14ac:dyDescent="0.35">
      <c r="A4" s="6" t="s">
        <v>18</v>
      </c>
      <c r="B4" s="3">
        <v>0.9049633221955623</v>
      </c>
      <c r="C4" s="3">
        <v>0.91891587931875629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C030-DBB5-412C-B2DC-18BBC4791FA4}">
  <dimension ref="A1:C2"/>
  <sheetViews>
    <sheetView workbookViewId="0">
      <selection activeCell="B9" sqref="B9"/>
    </sheetView>
  </sheetViews>
  <sheetFormatPr defaultRowHeight="14.5" x14ac:dyDescent="0.35"/>
  <cols>
    <col min="1" max="1" width="28.7265625" bestFit="1" customWidth="1"/>
    <col min="2" max="2" width="9.90625" bestFit="1" customWidth="1"/>
    <col min="3" max="3" width="18.54296875" bestFit="1" customWidth="1"/>
  </cols>
  <sheetData>
    <row r="1" spans="1:3" ht="15.5" x14ac:dyDescent="0.35">
      <c r="A1" s="4" t="s">
        <v>9</v>
      </c>
      <c r="B1" s="5" t="s">
        <v>20</v>
      </c>
      <c r="C1" s="5" t="s">
        <v>21</v>
      </c>
    </row>
    <row r="2" spans="1:3" ht="15.5" x14ac:dyDescent="0.35">
      <c r="A2" s="6" t="s">
        <v>18</v>
      </c>
      <c r="B2" s="3">
        <v>0.6659551112295623</v>
      </c>
      <c r="C2" s="3">
        <v>0.66175328872930517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B662-2884-4A65-8F14-08EB4AEAA8CC}">
  <dimension ref="A1:G3"/>
  <sheetViews>
    <sheetView tabSelected="1" workbookViewId="0">
      <selection activeCell="C8" sqref="C8"/>
    </sheetView>
  </sheetViews>
  <sheetFormatPr defaultRowHeight="14.5" x14ac:dyDescent="0.35"/>
  <cols>
    <col min="1" max="1" width="3.453125" bestFit="1" customWidth="1"/>
    <col min="2" max="2" width="7.90625" customWidth="1"/>
    <col min="3" max="3" width="29.36328125" customWidth="1"/>
    <col min="4" max="4" width="11.36328125" customWidth="1"/>
    <col min="5" max="5" width="9.36328125" customWidth="1"/>
    <col min="6" max="6" width="9" bestFit="1" customWidth="1"/>
    <col min="7" max="7" width="11.90625" bestFit="1" customWidth="1"/>
  </cols>
  <sheetData>
    <row r="1" spans="1:7" ht="31" x14ac:dyDescent="0.35">
      <c r="A1" s="6"/>
      <c r="B1" s="10" t="s">
        <v>12</v>
      </c>
      <c r="C1" s="10"/>
      <c r="D1" s="1" t="s">
        <v>22</v>
      </c>
      <c r="E1" s="8" t="s">
        <v>26</v>
      </c>
      <c r="F1" s="8" t="s">
        <v>23</v>
      </c>
      <c r="G1" s="8" t="s">
        <v>11</v>
      </c>
    </row>
    <row r="2" spans="1:7" ht="31" x14ac:dyDescent="0.35">
      <c r="A2" s="6" t="s">
        <v>13</v>
      </c>
      <c r="B2" s="9" t="s">
        <v>14</v>
      </c>
      <c r="C2" s="2" t="s">
        <v>24</v>
      </c>
      <c r="D2" s="7">
        <v>0.34774664154113527</v>
      </c>
      <c r="E2" s="7">
        <v>5.2549270291200676</v>
      </c>
      <c r="F2" s="7">
        <v>2.1969111685393727E-7</v>
      </c>
      <c r="G2" s="6" t="s">
        <v>15</v>
      </c>
    </row>
    <row r="3" spans="1:7" ht="31" x14ac:dyDescent="0.35">
      <c r="A3" s="6" t="s">
        <v>16</v>
      </c>
      <c r="B3" s="9" t="s">
        <v>14</v>
      </c>
      <c r="C3" s="2" t="s">
        <v>25</v>
      </c>
      <c r="D3" s="7">
        <v>0.57034665753444491</v>
      </c>
      <c r="E3" s="7">
        <v>9.0805613420797169</v>
      </c>
      <c r="F3" s="7">
        <v>5.6843418860808015E-14</v>
      </c>
      <c r="G3" s="6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Tabel 4.1 - 4.4</vt:lpstr>
      <vt:lpstr>Tabel 4.5 - 4.8</vt:lpstr>
      <vt:lpstr>Tabel 4.9 - 4.13</vt:lpstr>
      <vt:lpstr>Tabel 4.14 - 4.16</vt:lpstr>
      <vt:lpstr>Tabel 4.17</vt:lpstr>
      <vt:lpstr>Tabel 4.18</vt:lpstr>
      <vt:lpstr>Tabel 4.19</vt:lpstr>
      <vt:lpstr>Tabel 4.20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2025-04-23T07:06:34Z</dcterms:created>
  <dcterms:modified xsi:type="dcterms:W3CDTF">2025-05-18T19:07:31Z</dcterms:modified>
</cp:coreProperties>
</file>